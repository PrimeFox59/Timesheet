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aynun\Downloads\"/>
    </mc:Choice>
  </mc:AlternateContent>
  <xr:revisionPtr revIDLastSave="0" documentId="13_ncr:1_{65183258-FC35-438E-B3DF-48D0A2276BFB}" xr6:coauthVersionLast="47" xr6:coauthVersionMax="47" xr10:uidLastSave="{00000000-0000-0000-0000-000000000000}"/>
  <bookViews>
    <workbookView xWindow="28680" yWindow="-120" windowWidth="29040" windowHeight="17520" tabRatio="500" xr2:uid="{00000000-000D-0000-FFFF-FFFF00000000}"/>
  </bookViews>
  <sheets>
    <sheet name="Timesheet" sheetId="1" r:id="rId1"/>
    <sheet name="Instructions" sheetId="2" r:id="rId2"/>
  </sheets>
  <definedNames>
    <definedName name="_xlnm.Print_Area" localSheetId="1">Instructions!$B$1:$G$16</definedName>
    <definedName name="_xlnm.Print_Area" localSheetId="0">Timesheet!$A$1:$H$58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1" i="1" l="1"/>
  <c r="B40" i="1"/>
  <c r="B39" i="1"/>
  <c r="B38" i="1"/>
  <c r="B37" i="1"/>
  <c r="A37" i="1" s="1"/>
  <c r="B36" i="1"/>
  <c r="A36" i="1" s="1"/>
  <c r="B35" i="1"/>
  <c r="B34" i="1"/>
  <c r="A34" i="1" s="1"/>
  <c r="B33" i="1"/>
  <c r="B32" i="1"/>
  <c r="B31" i="1"/>
  <c r="B30" i="1"/>
  <c r="B29" i="1"/>
  <c r="A29" i="1" s="1"/>
  <c r="B28" i="1"/>
  <c r="A28" i="1" s="1"/>
  <c r="B27" i="1"/>
  <c r="B26" i="1"/>
  <c r="B25" i="1"/>
  <c r="B24" i="1"/>
  <c r="B23" i="1"/>
  <c r="B22" i="1"/>
  <c r="B21" i="1"/>
  <c r="A21" i="1" s="1"/>
  <c r="B20" i="1"/>
  <c r="A20" i="1" s="1"/>
  <c r="B19" i="1"/>
  <c r="B18" i="1"/>
  <c r="A18" i="1" s="1"/>
  <c r="B17" i="1"/>
  <c r="B16" i="1"/>
  <c r="A16" i="1" s="1"/>
  <c r="B15" i="1"/>
  <c r="B14" i="1"/>
  <c r="B13" i="1"/>
  <c r="A13" i="1" s="1"/>
  <c r="B12" i="1"/>
  <c r="A12" i="1" s="1"/>
  <c r="B11" i="1"/>
  <c r="F51" i="1"/>
  <c r="F50" i="1"/>
  <c r="F49" i="1"/>
  <c r="F48" i="1"/>
  <c r="F47" i="1"/>
  <c r="A41" i="1"/>
  <c r="A40" i="1"/>
  <c r="A35" i="1"/>
  <c r="A32" i="1"/>
  <c r="A24" i="1"/>
  <c r="A17" i="1"/>
  <c r="A11" i="1"/>
  <c r="F42" i="1"/>
  <c r="F46" i="1" s="1"/>
  <c r="E42" i="1"/>
  <c r="D42" i="1"/>
  <c r="F45" i="1" s="1"/>
  <c r="F54" i="1" s="1"/>
  <c r="A39" i="1"/>
  <c r="A38" i="1"/>
  <c r="A33" i="1"/>
  <c r="A31" i="1"/>
  <c r="A30" i="1"/>
  <c r="A27" i="1"/>
  <c r="A26" i="1"/>
  <c r="A25" i="1"/>
  <c r="A23" i="1"/>
  <c r="A22" i="1"/>
  <c r="A19" i="1"/>
  <c r="A15" i="1"/>
  <c r="A14" i="1"/>
  <c r="F52" i="1" l="1"/>
  <c r="F53" i="1" s="1"/>
</calcChain>
</file>

<file path=xl/sharedStrings.xml><?xml version="1.0" encoding="utf-8"?>
<sst xmlns="http://schemas.openxmlformats.org/spreadsheetml/2006/main" count="85" uniqueCount="50">
  <si>
    <t>TIMESHEET</t>
  </si>
  <si>
    <t>NAME:  XXXXXXX</t>
  </si>
  <si>
    <t>EMPLOYEE ID:</t>
  </si>
  <si>
    <t>INSERT HERE YOUR METSO ID NUMBER</t>
  </si>
  <si>
    <t>DESIGNATION:</t>
  </si>
  <si>
    <t>POSITION NAME</t>
  </si>
  <si>
    <t>WEEKDAY</t>
  </si>
  <si>
    <t>DATE</t>
  </si>
  <si>
    <t>DAY TYPE</t>
  </si>
  <si>
    <t>REGULAR</t>
  </si>
  <si>
    <t>OVERTIME</t>
  </si>
  <si>
    <t>TRAVEL HOURS</t>
  </si>
  <si>
    <t>WORK DESCRIPTION</t>
  </si>
  <si>
    <t>(Hours)</t>
  </si>
  <si>
    <t>WORK</t>
  </si>
  <si>
    <t>TOTAL HOURS</t>
  </si>
  <si>
    <t>DAY TYPE codes: WORK = normal working day  |  ROTATION = rest/rotation day (no hours)  |  SICK = sick leave  |  HOLIDAY = holiday / annual leave  |  TRAVEL = travel day (e.g. return from rotation)  |  WEEKLY OFF = weekly rest day (no hours, not billable)</t>
  </si>
  <si>
    <t>SUMMARY</t>
  </si>
  <si>
    <t>TOTAL WORK HOURS</t>
  </si>
  <si>
    <t>TOTAL TRAVEL HOURS</t>
  </si>
  <si>
    <t>ROTATION DAYS</t>
  </si>
  <si>
    <t>SICK DAYS</t>
  </si>
  <si>
    <t>HOLIDAY DAYS</t>
  </si>
  <si>
    <t>TRAVEL DAYS</t>
  </si>
  <si>
    <t>WEEKLY OFF DAYS</t>
  </si>
  <si>
    <t>EMPLOYEE:</t>
  </si>
  <si>
    <t>SIGNATURE</t>
  </si>
  <si>
    <t>APPROVED BY:</t>
  </si>
  <si>
    <t>NAME:</t>
  </si>
  <si>
    <t>NAME</t>
  </si>
  <si>
    <t>SITE MANAGER / CUSTOMER REP</t>
  </si>
  <si>
    <t>WORK DAYS</t>
  </si>
  <si>
    <t>AVERAGE HOURS PER WORK DAY</t>
  </si>
  <si>
    <t>TOTAL HOURS INCLUDING TRAVEL</t>
  </si>
  <si>
    <t>MONTH:</t>
  </si>
  <si>
    <t>TIMESHEET – BASIC USER GUIDE</t>
  </si>
  <si>
    <t>Follow these steps to complete and submit your monthly timesheet.</t>
  </si>
  <si>
    <t>HOW TO COMPLETE THE TIMESHEET</t>
  </si>
  <si>
    <t>Select the month — In the MONTH field, enter the month and year (for example, Aug-2026). Dates and weekdays update automatically.</t>
  </si>
  <si>
    <t>Enter employee details — Complete the NAME, EMPLOYEE ID and DESIGNATION fields.</t>
  </si>
  <si>
    <t>Select the day type — In DAY TYPE, choose WORK, ROTATION, SICK, HOLIDAY, TRAVEL or WEEKLY OFF.</t>
  </si>
  <si>
    <t>Enter hours — Complete REGULAR, OVERTIME and TRAVEL HOURS using values from 0 to 24 in 0.5-hour increments (for example, 7.0, 7.5 or 8.0).</t>
  </si>
  <si>
    <t>Describe the work — Add a brief description of the activities performed under WORK DESCRIPTION.</t>
  </si>
  <si>
    <t>Review the summary — Check the automatically calculated totals and day counts in the SUMMARY section.</t>
  </si>
  <si>
    <t>Sign and submit — Complete the EMPLOYEE and APPROVED BY sections, review the entries, save and submit the file.</t>
  </si>
  <si>
    <t>IMPORTANT</t>
  </si>
  <si>
    <t>• Edit only the highlighted input fields.</t>
  </si>
  <si>
    <t>• Do not overwrite formulas or calculated totals.</t>
  </si>
  <si>
    <t>• Review all entries before submission.</t>
  </si>
  <si>
    <t>• The Timesheet is configured to print on one A4 landscape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</si>
</sst>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dd"/>
    <numFmt numFmtId="165" formatCode="[$-409]d\-mmm\-yy;@"/>
    <numFmt numFmtId="166" formatCode="0.0"/>
    <numFmt numFmtId="167" formatCode="[$-409]mmm\-yyyy"/>
  </numFmts>
  <fonts count="19" x14ac:knownFonts="1">
    <font>
      <sz val="11"/>
      <color theme="1"/>
      <name val="Calibri"/>
      <family val="2"/>
      <charset val="1"/>
    </font>
    <font>
      <b/>
      <sz val="11"/>
      <name val="Calibri"/>
      <family val="2"/>
    </font>
    <font>
      <sz val="11"/>
      <name val="Calibri"/>
      <family val="2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  <font>
      <b/>
      <sz val="18"/>
      <color rgb="FFFFFFFF"/>
      <name val="Calibri"/>
      <family val="2"/>
    </font>
    <font>
      <sz val="10"/>
      <color rgb="FF090909"/>
      <name val="Calibri"/>
      <family val="2"/>
    </font>
    <font>
      <i/>
      <sz val="10"/>
      <color rgb="FF404040"/>
      <name val="Calibri"/>
      <family val="2"/>
    </font>
    <font>
      <b/>
      <sz val="13"/>
      <color rgb="FFFFFFFF"/>
      <name val="Calibri"/>
      <family val="2"/>
    </font>
    <font>
      <sz val="10"/>
      <color rgb="FF404040"/>
      <name val="Calibri"/>
      <family val="2"/>
    </font>
    <font>
      <b/>
      <sz val="28"/>
      <color rgb="FF090909"/>
      <name val="Calibri"/>
      <family val="2"/>
    </font>
    <font>
      <b/>
      <sz val="11"/>
      <color rgb="FF090909"/>
      <name val="Calibri"/>
      <family val="2"/>
    </font>
    <font>
      <b/>
      <i/>
      <sz val="11"/>
      <color rgb="FF090909"/>
      <name val="Calibri"/>
      <family val="2"/>
    </font>
    <font>
      <sz val="11"/>
      <color rgb="FF090909"/>
      <name val="Calibri"/>
      <family val="2"/>
    </font>
    <font>
      <sz val="11"/>
      <color rgb="FF090909"/>
      <name val="Calibri"/>
      <family val="2"/>
      <charset val="1"/>
    </font>
    <font>
      <b/>
      <i/>
      <sz val="11"/>
      <color rgb="FFFFFFFF"/>
      <name val="Calibri"/>
      <family val="2"/>
    </font>
    <font>
      <b/>
      <sz val="12"/>
      <color rgb="FF090909"/>
      <name val="Calibri"/>
      <family val="2"/>
    </font>
    <font>
      <b/>
      <sz val="11"/>
      <color rgb="FF090909"/>
      <name val="Calibri"/>
      <family val="2"/>
      <charset val="1"/>
    </font>
    <font>
      <i/>
      <sz val="9"/>
      <color rgb="FF40404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09090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2814"/>
        <bgColor indexed="64"/>
      </patternFill>
    </fill>
    <fill>
      <patternFill patternType="solid">
        <fgColor rgb="FFD9D9D9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4">
    <xf numFmtId="0" fontId="0" fillId="0" borderId="0" xfId="0"/>
    <xf numFmtId="164" fontId="2" fillId="0" borderId="1" xfId="0" applyNumberFormat="1" applyFont="1" applyBorder="1" applyAlignment="1" applyProtection="1">
      <alignment horizontal="center" vertical="center"/>
    </xf>
    <xf numFmtId="0" fontId="0" fillId="0" borderId="0" xfId="0" applyProtection="1"/>
    <xf numFmtId="0" fontId="1" fillId="0" borderId="11" xfId="0" applyFont="1" applyBorder="1" applyAlignment="1" applyProtection="1">
      <alignment horizontal="left" vertical="center"/>
    </xf>
    <xf numFmtId="0" fontId="1" fillId="0" borderId="13" xfId="0" applyFont="1" applyBorder="1" applyAlignment="1" applyProtection="1">
      <alignment horizontal="left" vertical="center"/>
    </xf>
    <xf numFmtId="0" fontId="0" fillId="0" borderId="0" xfId="0" applyBorder="1" applyProtection="1"/>
    <xf numFmtId="0" fontId="1" fillId="0" borderId="0" xfId="0" applyFont="1" applyBorder="1" applyProtection="1"/>
    <xf numFmtId="0" fontId="6" fillId="0" borderId="0" xfId="0" applyFont="1" applyAlignment="1">
      <alignment vertical="center"/>
    </xf>
    <xf numFmtId="0" fontId="5" fillId="3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vertical="center"/>
    </xf>
    <xf numFmtId="0" fontId="9" fillId="2" borderId="0" xfId="0" applyFont="1" applyFill="1" applyAlignment="1">
      <alignment vertical="center" wrapText="1"/>
    </xf>
    <xf numFmtId="0" fontId="9" fillId="2" borderId="0" xfId="0" applyFont="1" applyFill="1" applyBorder="1" applyAlignment="1">
      <alignment vertical="center" wrapText="1"/>
    </xf>
    <xf numFmtId="0" fontId="8" fillId="3" borderId="25" xfId="0" applyFont="1" applyFill="1" applyBorder="1" applyAlignment="1">
      <alignment horizontal="center" vertical="center"/>
    </xf>
    <xf numFmtId="0" fontId="6" fillId="4" borderId="26" xfId="0" applyFont="1" applyFill="1" applyBorder="1" applyAlignment="1">
      <alignment horizontal="left" vertical="center" wrapText="1"/>
    </xf>
    <xf numFmtId="0" fontId="6" fillId="4" borderId="27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 applyProtection="1">
      <alignment horizontal="center" vertical="center"/>
    </xf>
    <xf numFmtId="0" fontId="10" fillId="4" borderId="3" xfId="0" applyFont="1" applyFill="1" applyBorder="1" applyAlignment="1" applyProtection="1">
      <alignment horizontal="center" vertical="center"/>
    </xf>
    <xf numFmtId="0" fontId="4" fillId="3" borderId="4" xfId="0" applyFont="1" applyFill="1" applyBorder="1" applyAlignment="1" applyProtection="1">
      <alignment horizontal="center" vertical="center" wrapText="1"/>
    </xf>
    <xf numFmtId="0" fontId="4" fillId="3" borderId="4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 wrapText="1"/>
    </xf>
    <xf numFmtId="0" fontId="11" fillId="2" borderId="7" xfId="0" applyFont="1" applyFill="1" applyBorder="1" applyAlignment="1" applyProtection="1">
      <alignment horizontal="left" vertical="center"/>
      <protection locked="0"/>
    </xf>
    <xf numFmtId="0" fontId="11" fillId="2" borderId="5" xfId="0" applyFont="1" applyFill="1" applyBorder="1" applyAlignment="1" applyProtection="1">
      <alignment horizontal="left" vertical="center"/>
      <protection locked="0"/>
    </xf>
    <xf numFmtId="0" fontId="11" fillId="2" borderId="10" xfId="0" applyFont="1" applyFill="1" applyBorder="1" applyAlignment="1" applyProtection="1">
      <alignment horizontal="left" vertical="center"/>
      <protection locked="0"/>
    </xf>
    <xf numFmtId="0" fontId="11" fillId="2" borderId="8" xfId="0" applyFont="1" applyFill="1" applyBorder="1" applyAlignment="1" applyProtection="1">
      <alignment horizontal="left" vertical="center"/>
      <protection locked="0"/>
    </xf>
    <xf numFmtId="0" fontId="11" fillId="2" borderId="1" xfId="0" applyFont="1" applyFill="1" applyBorder="1" applyAlignment="1" applyProtection="1">
      <alignment horizontal="left" vertical="center"/>
      <protection locked="0"/>
    </xf>
    <xf numFmtId="0" fontId="11" fillId="2" borderId="2" xfId="0" applyFont="1" applyFill="1" applyBorder="1" applyAlignment="1" applyProtection="1">
      <alignment horizontal="left" vertical="center"/>
      <protection locked="0"/>
    </xf>
    <xf numFmtId="0" fontId="11" fillId="2" borderId="9" xfId="0" applyFont="1" applyFill="1" applyBorder="1" applyAlignment="1" applyProtection="1">
      <alignment horizontal="left" vertical="center"/>
      <protection locked="0"/>
    </xf>
    <xf numFmtId="0" fontId="11" fillId="2" borderId="6" xfId="0" applyFont="1" applyFill="1" applyBorder="1" applyAlignment="1" applyProtection="1">
      <alignment horizontal="left" vertical="center"/>
      <protection locked="0"/>
    </xf>
    <xf numFmtId="0" fontId="11" fillId="2" borderId="15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1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 applyProtection="1">
      <alignment horizontal="left" vertical="center"/>
      <protection locked="0"/>
    </xf>
    <xf numFmtId="165" fontId="13" fillId="2" borderId="1" xfId="0" applyNumberFormat="1" applyFont="1" applyFill="1" applyBorder="1" applyAlignment="1" applyProtection="1">
      <alignment horizontal="center" vertical="center"/>
    </xf>
    <xf numFmtId="0" fontId="13" fillId="2" borderId="1" xfId="0" applyFont="1" applyFill="1" applyBorder="1" applyAlignment="1" applyProtection="1">
      <alignment horizontal="center" vertical="center"/>
      <protection locked="0"/>
    </xf>
    <xf numFmtId="166" fontId="13" fillId="2" borderId="1" xfId="0" applyNumberFormat="1" applyFont="1" applyFill="1" applyBorder="1" applyAlignment="1" applyProtection="1">
      <alignment horizontal="center" vertical="center"/>
      <protection locked="0"/>
    </xf>
    <xf numFmtId="0" fontId="14" fillId="2" borderId="1" xfId="0" applyFont="1" applyFill="1" applyBorder="1" applyAlignment="1" applyProtection="1">
      <alignment horizontal="left" vertical="center" wrapText="1"/>
      <protection locked="0"/>
    </xf>
    <xf numFmtId="0" fontId="11" fillId="2" borderId="24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horizontal="center" vertical="center"/>
      <protection locked="0"/>
    </xf>
    <xf numFmtId="167" fontId="15" fillId="5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4" xfId="0" applyFont="1" applyFill="1" applyBorder="1" applyAlignment="1" applyProtection="1">
      <alignment horizontal="left" vertical="center"/>
      <protection locked="0"/>
    </xf>
    <xf numFmtId="0" fontId="11" fillId="6" borderId="16" xfId="0" applyFont="1" applyFill="1" applyBorder="1" applyAlignment="1" applyProtection="1">
      <alignment horizontal="center" vertical="center"/>
    </xf>
    <xf numFmtId="166" fontId="16" fillId="6" borderId="16" xfId="0" applyNumberFormat="1" applyFont="1" applyFill="1" applyBorder="1" applyAlignment="1" applyProtection="1">
      <alignment horizontal="center" vertical="center"/>
    </xf>
    <xf numFmtId="0" fontId="17" fillId="6" borderId="16" xfId="0" applyFont="1" applyFill="1" applyBorder="1" applyProtection="1"/>
    <xf numFmtId="0" fontId="18" fillId="2" borderId="13" xfId="0" applyFont="1" applyFill="1" applyBorder="1" applyAlignment="1" applyProtection="1">
      <alignment horizontal="left" vertical="center" wrapText="1"/>
    </xf>
    <xf numFmtId="0" fontId="18" fillId="2" borderId="17" xfId="0" applyFont="1" applyFill="1" applyBorder="1" applyAlignment="1" applyProtection="1">
      <alignment horizontal="left" vertical="center" wrapText="1"/>
    </xf>
    <xf numFmtId="0" fontId="18" fillId="2" borderId="20" xfId="0" applyFont="1" applyFill="1" applyBorder="1" applyAlignment="1" applyProtection="1">
      <alignment horizontal="left" vertical="center" wrapText="1"/>
    </xf>
    <xf numFmtId="0" fontId="3" fillId="5" borderId="13" xfId="0" applyFont="1" applyFill="1" applyBorder="1" applyAlignment="1" applyProtection="1">
      <alignment horizontal="center" vertical="center"/>
    </xf>
    <xf numFmtId="0" fontId="3" fillId="5" borderId="17" xfId="0" applyFont="1" applyFill="1" applyBorder="1" applyAlignment="1" applyProtection="1">
      <alignment horizontal="center" vertical="center"/>
    </xf>
    <xf numFmtId="0" fontId="3" fillId="5" borderId="20" xfId="0" applyFont="1" applyFill="1" applyBorder="1" applyAlignment="1" applyProtection="1">
      <alignment horizontal="center" vertical="center"/>
    </xf>
    <xf numFmtId="0" fontId="11" fillId="2" borderId="21" xfId="0" applyFont="1" applyFill="1" applyBorder="1" applyAlignment="1" applyProtection="1">
      <alignment horizontal="left" vertical="center"/>
    </xf>
    <xf numFmtId="0" fontId="11" fillId="2" borderId="22" xfId="0" applyFont="1" applyFill="1" applyBorder="1" applyAlignment="1" applyProtection="1">
      <alignment horizontal="left" vertical="center"/>
    </xf>
    <xf numFmtId="0" fontId="11" fillId="2" borderId="23" xfId="0" applyFont="1" applyFill="1" applyBorder="1" applyAlignment="1" applyProtection="1">
      <alignment horizontal="left" vertical="center"/>
    </xf>
    <xf numFmtId="0" fontId="11" fillId="2" borderId="11" xfId="0" applyFont="1" applyFill="1" applyBorder="1" applyProtection="1"/>
    <xf numFmtId="0" fontId="11" fillId="2" borderId="18" xfId="0" applyFont="1" applyFill="1" applyBorder="1" applyProtection="1"/>
    <xf numFmtId="0" fontId="11" fillId="2" borderId="19" xfId="0" applyFont="1" applyFill="1" applyBorder="1" applyProtection="1"/>
    <xf numFmtId="0" fontId="11" fillId="2" borderId="11" xfId="0" applyFont="1" applyFill="1" applyBorder="1" applyAlignment="1" applyProtection="1">
      <alignment horizontal="left" vertical="center"/>
    </xf>
    <xf numFmtId="0" fontId="11" fillId="2" borderId="18" xfId="0" applyFont="1" applyFill="1" applyBorder="1" applyAlignment="1" applyProtection="1">
      <alignment horizontal="left" vertical="center"/>
    </xf>
    <xf numFmtId="0" fontId="11" fillId="2" borderId="19" xfId="0" applyFont="1" applyFill="1" applyBorder="1" applyAlignment="1" applyProtection="1">
      <alignment horizontal="left" vertical="center"/>
    </xf>
    <xf numFmtId="166" fontId="16" fillId="4" borderId="21" xfId="0" applyNumberFormat="1" applyFont="1" applyFill="1" applyBorder="1" applyAlignment="1" applyProtection="1">
      <alignment horizontal="center" vertical="center"/>
    </xf>
    <xf numFmtId="166" fontId="16" fillId="4" borderId="22" xfId="0" applyNumberFormat="1" applyFont="1" applyFill="1" applyBorder="1" applyAlignment="1" applyProtection="1">
      <alignment horizontal="center" vertical="center"/>
    </xf>
    <xf numFmtId="166" fontId="16" fillId="4" borderId="14" xfId="0" applyNumberFormat="1" applyFont="1" applyFill="1" applyBorder="1" applyAlignment="1" applyProtection="1">
      <alignment horizontal="center" vertical="center"/>
    </xf>
    <xf numFmtId="1" fontId="16" fillId="4" borderId="21" xfId="0" applyNumberFormat="1" applyFont="1" applyFill="1" applyBorder="1" applyAlignment="1" applyProtection="1">
      <alignment horizontal="center" vertical="center"/>
    </xf>
    <xf numFmtId="1" fontId="16" fillId="4" borderId="22" xfId="0" applyNumberFormat="1" applyFont="1" applyFill="1" applyBorder="1" applyAlignment="1" applyProtection="1">
      <alignment horizontal="center" vertical="center"/>
    </xf>
    <xf numFmtId="1" fontId="16" fillId="4" borderId="14" xfId="0" applyNumberFormat="1" applyFont="1" applyFill="1" applyBorder="1" applyAlignment="1" applyProtection="1">
      <alignment horizontal="center" vertical="center"/>
    </xf>
    <xf numFmtId="1" fontId="11" fillId="4" borderId="13" xfId="0" applyNumberFormat="1" applyFont="1" applyFill="1" applyBorder="1" applyAlignment="1" applyProtection="1">
      <alignment horizontal="center"/>
    </xf>
    <xf numFmtId="0" fontId="11" fillId="4" borderId="17" xfId="0" applyFont="1" applyFill="1" applyBorder="1" applyAlignment="1" applyProtection="1">
      <alignment horizontal="center"/>
    </xf>
    <xf numFmtId="0" fontId="11" fillId="4" borderId="20" xfId="0" applyFont="1" applyFill="1" applyBorder="1" applyAlignment="1" applyProtection="1">
      <alignment horizontal="center"/>
    </xf>
    <xf numFmtId="166" fontId="11" fillId="4" borderId="13" xfId="0" applyNumberFormat="1" applyFont="1" applyFill="1" applyBorder="1" applyAlignment="1" applyProtection="1">
      <alignment horizontal="center"/>
    </xf>
    <xf numFmtId="166" fontId="11" fillId="4" borderId="11" xfId="0" applyNumberFormat="1" applyFont="1" applyFill="1" applyBorder="1" applyAlignment="1" applyProtection="1">
      <alignment horizontal="center"/>
    </xf>
    <xf numFmtId="0" fontId="11" fillId="4" borderId="18" xfId="0" applyFont="1" applyFill="1" applyBorder="1" applyAlignment="1" applyProtection="1">
      <alignment horizontal="center"/>
    </xf>
    <xf numFmtId="0" fontId="11" fillId="4" borderId="19" xfId="0" applyFont="1" applyFill="1" applyBorder="1" applyAlignment="1" applyProtection="1">
      <alignment horizontal="center"/>
    </xf>
  </cellXfs>
  <cellStyles count="1">
    <cellStyle name="Normal" xfId="0" builtinId="0"/>
  </cellStyles>
  <dxfs count="4">
    <dxf>
      <font>
        <color rgb="FFA6A6A6"/>
      </font>
      <fill>
        <patternFill patternType="solid">
          <fgColor indexed="64"/>
          <bgColor rgb="FFE7E6E6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</xdr:rowOff>
    </xdr:from>
    <xdr:to>
      <xdr:col>2</xdr:col>
      <xdr:colOff>171450</xdr:colOff>
      <xdr:row>4</xdr:row>
      <xdr:rowOff>183681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0C5B08-300E-40F1-980D-17D7C8BF4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"/>
          <a:ext cx="2238375" cy="936156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0</xdr:row>
      <xdr:rowOff>0</xdr:rowOff>
    </xdr:from>
    <xdr:to>
      <xdr:col>2</xdr:col>
      <xdr:colOff>273755</xdr:colOff>
      <xdr:row>4</xdr:row>
      <xdr:rowOff>189058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124CBF-4429-465E-AB16-82251F660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0"/>
          <a:ext cx="2274005" cy="951058"/>
        </a:xfrm>
        <a:prstGeom prst="rect">
          <a:avLst/>
        </a:prstGeom>
      </xdr:spPr>
    </xdr:pic>
    <xdr:clientData/>
  </xdr:twoCellAnchor>
  <xdr:twoCellAnchor>
    <xdr:from>
      <xdr:col>6</xdr:col>
      <xdr:colOff>771525</xdr:colOff>
      <xdr:row>0</xdr:row>
      <xdr:rowOff>19050</xdr:rowOff>
    </xdr:from>
    <xdr:to>
      <xdr:col>7</xdr:col>
      <xdr:colOff>1212850</xdr:colOff>
      <xdr:row>4</xdr:row>
      <xdr:rowOff>198966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03E7D81-6FCE-41CF-B02B-E934B3AE99E8}"/>
            </a:ext>
          </a:extLst>
        </xdr:cNvPr>
        <xdr:cNvSpPr txBox="1"/>
      </xdr:nvSpPr>
      <xdr:spPr>
        <a:xfrm>
          <a:off x="6810375" y="19050"/>
          <a:ext cx="1841500" cy="94191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800" b="1"/>
            <a:t>Add</a:t>
          </a:r>
          <a:r>
            <a:rPr lang="pt-BR" sz="1800" b="1" baseline="0"/>
            <a:t> customer logo here:</a:t>
          </a:r>
          <a:endParaRPr lang="pt-BR" sz="1800" b="1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8"/>
  <sheetViews>
    <sheetView showGridLines="0" tabSelected="1" zoomScaleNormal="100" workbookViewId="0">
      <selection activeCell="M13" sqref="M13"/>
    </sheetView>
  </sheetViews>
  <sheetFormatPr defaultColWidth="8.7109375" defaultRowHeight="15" x14ac:dyDescent="0.25"/>
  <cols>
    <col min="1" max="1" width="17.140625" customWidth="1"/>
    <col min="2" max="2" width="15.28515625" customWidth="1"/>
    <col min="3" max="3" width="17.140625" customWidth="1"/>
    <col min="4" max="5" width="12.42578125" customWidth="1"/>
    <col min="6" max="6" width="16.140625" customWidth="1"/>
    <col min="7" max="8" width="21" customWidth="1"/>
  </cols>
  <sheetData>
    <row r="1" spans="1:8" ht="15" customHeight="1" x14ac:dyDescent="0.25">
      <c r="A1" s="16" t="s">
        <v>0</v>
      </c>
      <c r="B1" s="16"/>
      <c r="C1" s="16"/>
      <c r="D1" s="16"/>
      <c r="E1" s="16"/>
      <c r="F1" s="16"/>
      <c r="G1" s="16"/>
      <c r="H1" s="16"/>
    </row>
    <row r="2" spans="1:8" ht="15" customHeight="1" x14ac:dyDescent="0.25">
      <c r="A2" s="16"/>
      <c r="B2" s="16"/>
      <c r="C2" s="16"/>
      <c r="D2" s="16"/>
      <c r="E2" s="16"/>
      <c r="F2" s="16"/>
      <c r="G2" s="16"/>
      <c r="H2" s="16"/>
    </row>
    <row r="3" spans="1:8" ht="15" customHeight="1" x14ac:dyDescent="0.25">
      <c r="A3" s="16"/>
      <c r="B3" s="16"/>
      <c r="C3" s="16"/>
      <c r="D3" s="16"/>
      <c r="E3" s="16"/>
      <c r="F3" s="16"/>
      <c r="G3" s="16"/>
      <c r="H3" s="16"/>
    </row>
    <row r="4" spans="1:8" ht="15" customHeight="1" x14ac:dyDescent="0.25">
      <c r="A4" s="16"/>
      <c r="B4" s="16"/>
      <c r="C4" s="16"/>
      <c r="D4" s="16"/>
      <c r="E4" s="16"/>
      <c r="F4" s="16"/>
      <c r="G4" s="16"/>
      <c r="H4" s="16"/>
    </row>
    <row r="5" spans="1:8" ht="18" customHeight="1" x14ac:dyDescent="0.25">
      <c r="A5" s="17"/>
      <c r="B5" s="17"/>
      <c r="C5" s="17"/>
      <c r="D5" s="17"/>
      <c r="E5" s="17"/>
      <c r="F5" s="17"/>
      <c r="G5" s="17"/>
      <c r="H5" s="17"/>
    </row>
    <row r="6" spans="1:8" ht="15.75" customHeight="1" x14ac:dyDescent="0.25">
      <c r="A6" s="22" t="s">
        <v>1</v>
      </c>
      <c r="B6" s="23"/>
      <c r="C6" s="23"/>
      <c r="D6" s="23"/>
      <c r="E6" s="24"/>
      <c r="F6" s="4" t="s">
        <v>34</v>
      </c>
      <c r="G6" s="41">
        <v>46235</v>
      </c>
      <c r="H6" s="42"/>
    </row>
    <row r="7" spans="1:8" ht="15.75" customHeight="1" x14ac:dyDescent="0.25">
      <c r="A7" s="25"/>
      <c r="B7" s="26"/>
      <c r="C7" s="26"/>
      <c r="D7" s="26"/>
      <c r="E7" s="27"/>
      <c r="F7" s="4" t="s">
        <v>2</v>
      </c>
      <c r="G7" s="32" t="s">
        <v>3</v>
      </c>
      <c r="H7" s="31"/>
    </row>
    <row r="8" spans="1:8" ht="15.75" customHeight="1" x14ac:dyDescent="0.25">
      <c r="A8" s="28"/>
      <c r="B8" s="29"/>
      <c r="C8" s="29"/>
      <c r="D8" s="29"/>
      <c r="E8" s="30"/>
      <c r="F8" s="3" t="s">
        <v>4</v>
      </c>
      <c r="G8" s="33" t="s">
        <v>5</v>
      </c>
      <c r="H8" s="34"/>
    </row>
    <row r="9" spans="1:8" ht="16.5" customHeight="1" x14ac:dyDescent="0.25">
      <c r="A9" s="18" t="s">
        <v>6</v>
      </c>
      <c r="B9" s="18" t="s">
        <v>7</v>
      </c>
      <c r="C9" s="18" t="s">
        <v>8</v>
      </c>
      <c r="D9" s="19" t="s">
        <v>9</v>
      </c>
      <c r="E9" s="19" t="s">
        <v>10</v>
      </c>
      <c r="F9" s="18" t="s">
        <v>11</v>
      </c>
      <c r="G9" s="18" t="s">
        <v>12</v>
      </c>
      <c r="H9" s="18"/>
    </row>
    <row r="10" spans="1:8" ht="16.5" customHeight="1" x14ac:dyDescent="0.25">
      <c r="A10" s="20"/>
      <c r="B10" s="20"/>
      <c r="C10" s="20"/>
      <c r="D10" s="21" t="s">
        <v>13</v>
      </c>
      <c r="E10" s="21" t="s">
        <v>13</v>
      </c>
      <c r="F10" s="20"/>
      <c r="G10" s="20"/>
      <c r="H10" s="20"/>
    </row>
    <row r="11" spans="1:8" x14ac:dyDescent="0.25">
      <c r="A11" s="1" t="str">
        <f t="shared" ref="A11:A41" si="0">IF(B11="","",CHOOSE(WEEKDAY(B11,2),"Monday","Tuesday","Wednesday","Thursday","Friday","Saturday","Sunday"))</f>
        <v>Saturday</v>
      </c>
      <c r="B11" s="35">
        <f>IF(ROW()-10&lt;=DAY(EOMONTH($G$6,0)),DATE(YEAR($G$6),MONTH($G$6),ROW()-10),"")</f>
        <v>46235</v>
      </c>
      <c r="C11" s="36" t="s">
        <v>14</v>
      </c>
      <c r="D11" s="37"/>
      <c r="E11" s="37"/>
      <c r="F11" s="37"/>
      <c r="G11" s="38"/>
      <c r="H11" s="38"/>
    </row>
    <row r="12" spans="1:8" x14ac:dyDescent="0.25">
      <c r="A12" s="1" t="str">
        <f t="shared" si="0"/>
        <v>Sunday</v>
      </c>
      <c r="B12" s="35">
        <f t="shared" ref="B12:B41" si="1">IF(ROW()-10&lt;=DAY(EOMONTH($G$6,0)),DATE(YEAR($G$6),MONTH($G$6),ROW()-10),"")</f>
        <v>46236</v>
      </c>
      <c r="C12" s="36" t="s">
        <v>14</v>
      </c>
      <c r="D12" s="37"/>
      <c r="E12" s="37"/>
      <c r="F12" s="37"/>
      <c r="G12" s="38"/>
      <c r="H12" s="38"/>
    </row>
    <row r="13" spans="1:8" x14ac:dyDescent="0.25">
      <c r="A13" s="1" t="str">
        <f t="shared" si="0"/>
        <v>Monday</v>
      </c>
      <c r="B13" s="35">
        <f t="shared" si="1"/>
        <v>46237</v>
      </c>
      <c r="C13" s="36" t="s">
        <v>14</v>
      </c>
      <c r="D13" s="37"/>
      <c r="E13" s="37"/>
      <c r="F13" s="37"/>
      <c r="G13" s="38"/>
      <c r="H13" s="38"/>
    </row>
    <row r="14" spans="1:8" x14ac:dyDescent="0.25">
      <c r="A14" s="1" t="str">
        <f t="shared" si="0"/>
        <v>Tuesday</v>
      </c>
      <c r="B14" s="35">
        <f t="shared" si="1"/>
        <v>46238</v>
      </c>
      <c r="C14" s="36" t="s">
        <v>14</v>
      </c>
      <c r="D14" s="37"/>
      <c r="E14" s="37"/>
      <c r="F14" s="37"/>
      <c r="G14" s="38"/>
      <c r="H14" s="38"/>
    </row>
    <row r="15" spans="1:8" x14ac:dyDescent="0.25">
      <c r="A15" s="1" t="str">
        <f t="shared" si="0"/>
        <v>Wednesday</v>
      </c>
      <c r="B15" s="35">
        <f t="shared" si="1"/>
        <v>46239</v>
      </c>
      <c r="C15" s="36" t="s">
        <v>14</v>
      </c>
      <c r="D15" s="37"/>
      <c r="E15" s="37"/>
      <c r="F15" s="37"/>
      <c r="G15" s="38"/>
      <c r="H15" s="38"/>
    </row>
    <row r="16" spans="1:8" x14ac:dyDescent="0.25">
      <c r="A16" s="1" t="str">
        <f t="shared" si="0"/>
        <v>Thursday</v>
      </c>
      <c r="B16" s="35">
        <f t="shared" si="1"/>
        <v>46240</v>
      </c>
      <c r="C16" s="36" t="s">
        <v>14</v>
      </c>
      <c r="D16" s="37"/>
      <c r="E16" s="37"/>
      <c r="F16" s="37"/>
      <c r="G16" s="38"/>
      <c r="H16" s="38"/>
    </row>
    <row r="17" spans="1:8" x14ac:dyDescent="0.25">
      <c r="A17" s="1" t="str">
        <f t="shared" si="0"/>
        <v>Friday</v>
      </c>
      <c r="B17" s="35">
        <f t="shared" si="1"/>
        <v>46241</v>
      </c>
      <c r="C17" s="36" t="s">
        <v>14</v>
      </c>
      <c r="D17" s="37"/>
      <c r="E17" s="37"/>
      <c r="F17" s="37"/>
      <c r="G17" s="38"/>
      <c r="H17" s="38"/>
    </row>
    <row r="18" spans="1:8" x14ac:dyDescent="0.25">
      <c r="A18" s="1" t="str">
        <f t="shared" si="0"/>
        <v>Saturday</v>
      </c>
      <c r="B18" s="35">
        <f t="shared" si="1"/>
        <v>46242</v>
      </c>
      <c r="C18" s="36" t="s">
        <v>14</v>
      </c>
      <c r="D18" s="37"/>
      <c r="E18" s="37"/>
      <c r="F18" s="37"/>
      <c r="G18" s="38"/>
      <c r="H18" s="38"/>
    </row>
    <row r="19" spans="1:8" x14ac:dyDescent="0.25">
      <c r="A19" s="1" t="str">
        <f t="shared" si="0"/>
        <v>Sunday</v>
      </c>
      <c r="B19" s="35">
        <f t="shared" si="1"/>
        <v>46243</v>
      </c>
      <c r="C19" s="36" t="s">
        <v>14</v>
      </c>
      <c r="D19" s="37"/>
      <c r="E19" s="37"/>
      <c r="F19" s="37"/>
      <c r="G19" s="38"/>
      <c r="H19" s="38"/>
    </row>
    <row r="20" spans="1:8" x14ac:dyDescent="0.25">
      <c r="A20" s="1" t="str">
        <f t="shared" si="0"/>
        <v>Monday</v>
      </c>
      <c r="B20" s="35">
        <f t="shared" si="1"/>
        <v>46244</v>
      </c>
      <c r="C20" s="36" t="s">
        <v>14</v>
      </c>
      <c r="D20" s="37"/>
      <c r="E20" s="37"/>
      <c r="F20" s="37"/>
      <c r="G20" s="38"/>
      <c r="H20" s="38"/>
    </row>
    <row r="21" spans="1:8" x14ac:dyDescent="0.25">
      <c r="A21" s="1" t="str">
        <f t="shared" si="0"/>
        <v>Tuesday</v>
      </c>
      <c r="B21" s="35">
        <f t="shared" si="1"/>
        <v>46245</v>
      </c>
      <c r="C21" s="36" t="s">
        <v>14</v>
      </c>
      <c r="D21" s="37"/>
      <c r="E21" s="37"/>
      <c r="F21" s="37"/>
      <c r="G21" s="38"/>
      <c r="H21" s="38"/>
    </row>
    <row r="22" spans="1:8" x14ac:dyDescent="0.25">
      <c r="A22" s="1" t="str">
        <f t="shared" si="0"/>
        <v>Wednesday</v>
      </c>
      <c r="B22" s="35">
        <f t="shared" si="1"/>
        <v>46246</v>
      </c>
      <c r="C22" s="36" t="s">
        <v>14</v>
      </c>
      <c r="D22" s="37"/>
      <c r="E22" s="37"/>
      <c r="F22" s="37"/>
      <c r="G22" s="38"/>
      <c r="H22" s="38"/>
    </row>
    <row r="23" spans="1:8" x14ac:dyDescent="0.25">
      <c r="A23" s="1" t="str">
        <f t="shared" si="0"/>
        <v>Thursday</v>
      </c>
      <c r="B23" s="35">
        <f t="shared" si="1"/>
        <v>46247</v>
      </c>
      <c r="C23" s="36" t="s">
        <v>14</v>
      </c>
      <c r="D23" s="37"/>
      <c r="E23" s="37"/>
      <c r="F23" s="37"/>
      <c r="G23" s="38"/>
      <c r="H23" s="38"/>
    </row>
    <row r="24" spans="1:8" x14ac:dyDescent="0.25">
      <c r="A24" s="1" t="str">
        <f t="shared" si="0"/>
        <v>Friday</v>
      </c>
      <c r="B24" s="35">
        <f t="shared" si="1"/>
        <v>46248</v>
      </c>
      <c r="C24" s="36" t="s">
        <v>14</v>
      </c>
      <c r="D24" s="37"/>
      <c r="E24" s="37"/>
      <c r="F24" s="37"/>
      <c r="G24" s="38"/>
      <c r="H24" s="38"/>
    </row>
    <row r="25" spans="1:8" x14ac:dyDescent="0.25">
      <c r="A25" s="1" t="str">
        <f t="shared" si="0"/>
        <v>Saturday</v>
      </c>
      <c r="B25" s="35">
        <f t="shared" si="1"/>
        <v>46249</v>
      </c>
      <c r="C25" s="36" t="s">
        <v>14</v>
      </c>
      <c r="D25" s="37"/>
      <c r="E25" s="37"/>
      <c r="F25" s="37"/>
      <c r="G25" s="38"/>
      <c r="H25" s="38"/>
    </row>
    <row r="26" spans="1:8" x14ac:dyDescent="0.25">
      <c r="A26" s="1" t="str">
        <f t="shared" si="0"/>
        <v>Sunday</v>
      </c>
      <c r="B26" s="35">
        <f t="shared" si="1"/>
        <v>46250</v>
      </c>
      <c r="C26" s="36" t="s">
        <v>14</v>
      </c>
      <c r="D26" s="37"/>
      <c r="E26" s="37"/>
      <c r="F26" s="37"/>
      <c r="G26" s="38"/>
      <c r="H26" s="38"/>
    </row>
    <row r="27" spans="1:8" x14ac:dyDescent="0.25">
      <c r="A27" s="1" t="str">
        <f t="shared" si="0"/>
        <v>Monday</v>
      </c>
      <c r="B27" s="35">
        <f t="shared" si="1"/>
        <v>46251</v>
      </c>
      <c r="C27" s="36" t="s">
        <v>14</v>
      </c>
      <c r="D27" s="37"/>
      <c r="E27" s="37"/>
      <c r="F27" s="37"/>
      <c r="G27" s="38"/>
      <c r="H27" s="38"/>
    </row>
    <row r="28" spans="1:8" x14ac:dyDescent="0.25">
      <c r="A28" s="1" t="str">
        <f t="shared" si="0"/>
        <v>Tuesday</v>
      </c>
      <c r="B28" s="35">
        <f t="shared" si="1"/>
        <v>46252</v>
      </c>
      <c r="C28" s="36" t="s">
        <v>14</v>
      </c>
      <c r="D28" s="37"/>
      <c r="E28" s="37"/>
      <c r="F28" s="37"/>
      <c r="G28" s="38"/>
      <c r="H28" s="38"/>
    </row>
    <row r="29" spans="1:8" x14ac:dyDescent="0.25">
      <c r="A29" s="1" t="str">
        <f t="shared" si="0"/>
        <v>Wednesday</v>
      </c>
      <c r="B29" s="35">
        <f t="shared" si="1"/>
        <v>46253</v>
      </c>
      <c r="C29" s="36" t="s">
        <v>14</v>
      </c>
      <c r="D29" s="37"/>
      <c r="E29" s="37"/>
      <c r="F29" s="37"/>
      <c r="G29" s="38"/>
      <c r="H29" s="38"/>
    </row>
    <row r="30" spans="1:8" x14ac:dyDescent="0.25">
      <c r="A30" s="1" t="str">
        <f t="shared" si="0"/>
        <v>Thursday</v>
      </c>
      <c r="B30" s="35">
        <f t="shared" si="1"/>
        <v>46254</v>
      </c>
      <c r="C30" s="36" t="s">
        <v>14</v>
      </c>
      <c r="D30" s="37"/>
      <c r="E30" s="37"/>
      <c r="F30" s="37"/>
      <c r="G30" s="38"/>
      <c r="H30" s="38"/>
    </row>
    <row r="31" spans="1:8" x14ac:dyDescent="0.25">
      <c r="A31" s="1" t="str">
        <f t="shared" si="0"/>
        <v>Friday</v>
      </c>
      <c r="B31" s="35">
        <f t="shared" si="1"/>
        <v>46255</v>
      </c>
      <c r="C31" s="36" t="s">
        <v>14</v>
      </c>
      <c r="D31" s="37"/>
      <c r="E31" s="37"/>
      <c r="F31" s="37"/>
      <c r="G31" s="38"/>
      <c r="H31" s="38"/>
    </row>
    <row r="32" spans="1:8" x14ac:dyDescent="0.25">
      <c r="A32" s="1" t="str">
        <f t="shared" si="0"/>
        <v>Saturday</v>
      </c>
      <c r="B32" s="35">
        <f t="shared" si="1"/>
        <v>46256</v>
      </c>
      <c r="C32" s="36" t="s">
        <v>14</v>
      </c>
      <c r="D32" s="37"/>
      <c r="E32" s="37"/>
      <c r="F32" s="37"/>
      <c r="G32" s="38"/>
      <c r="H32" s="38"/>
    </row>
    <row r="33" spans="1:8" x14ac:dyDescent="0.25">
      <c r="A33" s="1" t="str">
        <f t="shared" si="0"/>
        <v>Sunday</v>
      </c>
      <c r="B33" s="35">
        <f t="shared" si="1"/>
        <v>46257</v>
      </c>
      <c r="C33" s="36" t="s">
        <v>14</v>
      </c>
      <c r="D33" s="37"/>
      <c r="E33" s="37"/>
      <c r="F33" s="37"/>
      <c r="G33" s="38"/>
      <c r="H33" s="38"/>
    </row>
    <row r="34" spans="1:8" x14ac:dyDescent="0.25">
      <c r="A34" s="1" t="str">
        <f t="shared" si="0"/>
        <v>Monday</v>
      </c>
      <c r="B34" s="35">
        <f t="shared" si="1"/>
        <v>46258</v>
      </c>
      <c r="C34" s="36" t="s">
        <v>14</v>
      </c>
      <c r="D34" s="37"/>
      <c r="E34" s="37"/>
      <c r="F34" s="37"/>
      <c r="G34" s="38"/>
      <c r="H34" s="38"/>
    </row>
    <row r="35" spans="1:8" x14ac:dyDescent="0.25">
      <c r="A35" s="1" t="str">
        <f t="shared" si="0"/>
        <v>Tuesday</v>
      </c>
      <c r="B35" s="35">
        <f t="shared" si="1"/>
        <v>46259</v>
      </c>
      <c r="C35" s="36" t="s">
        <v>14</v>
      </c>
      <c r="D35" s="37"/>
      <c r="E35" s="37"/>
      <c r="F35" s="37"/>
      <c r="G35" s="38"/>
      <c r="H35" s="38"/>
    </row>
    <row r="36" spans="1:8" x14ac:dyDescent="0.25">
      <c r="A36" s="1" t="str">
        <f t="shared" si="0"/>
        <v>Wednesday</v>
      </c>
      <c r="B36" s="35">
        <f t="shared" si="1"/>
        <v>46260</v>
      </c>
      <c r="C36" s="36" t="s">
        <v>14</v>
      </c>
      <c r="D36" s="37"/>
      <c r="E36" s="37"/>
      <c r="F36" s="37"/>
      <c r="G36" s="38"/>
      <c r="H36" s="38"/>
    </row>
    <row r="37" spans="1:8" x14ac:dyDescent="0.25">
      <c r="A37" s="1" t="str">
        <f t="shared" si="0"/>
        <v>Thursday</v>
      </c>
      <c r="B37" s="35">
        <f t="shared" si="1"/>
        <v>46261</v>
      </c>
      <c r="C37" s="36" t="s">
        <v>14</v>
      </c>
      <c r="D37" s="37"/>
      <c r="E37" s="37"/>
      <c r="F37" s="37"/>
      <c r="G37" s="38"/>
      <c r="H37" s="38"/>
    </row>
    <row r="38" spans="1:8" x14ac:dyDescent="0.25">
      <c r="A38" s="1" t="str">
        <f t="shared" si="0"/>
        <v>Friday</v>
      </c>
      <c r="B38" s="35">
        <f t="shared" si="1"/>
        <v>46262</v>
      </c>
      <c r="C38" s="36" t="s">
        <v>14</v>
      </c>
      <c r="D38" s="37"/>
      <c r="E38" s="37"/>
      <c r="F38" s="37"/>
      <c r="G38" s="38"/>
      <c r="H38" s="38"/>
    </row>
    <row r="39" spans="1:8" x14ac:dyDescent="0.25">
      <c r="A39" s="1" t="str">
        <f t="shared" si="0"/>
        <v>Saturday</v>
      </c>
      <c r="B39" s="35">
        <f t="shared" si="1"/>
        <v>46263</v>
      </c>
      <c r="C39" s="36" t="s">
        <v>14</v>
      </c>
      <c r="D39" s="37"/>
      <c r="E39" s="37"/>
      <c r="F39" s="37"/>
      <c r="G39" s="38"/>
      <c r="H39" s="38"/>
    </row>
    <row r="40" spans="1:8" x14ac:dyDescent="0.25">
      <c r="A40" s="1" t="str">
        <f t="shared" si="0"/>
        <v>Sunday</v>
      </c>
      <c r="B40" s="35">
        <f t="shared" si="1"/>
        <v>46264</v>
      </c>
      <c r="C40" s="36" t="s">
        <v>14</v>
      </c>
      <c r="D40" s="37"/>
      <c r="E40" s="37"/>
      <c r="F40" s="37"/>
      <c r="G40" s="38"/>
      <c r="H40" s="38"/>
    </row>
    <row r="41" spans="1:8" x14ac:dyDescent="0.25">
      <c r="A41" s="1" t="str">
        <f t="shared" si="0"/>
        <v>Monday</v>
      </c>
      <c r="B41" s="35">
        <f t="shared" si="1"/>
        <v>46265</v>
      </c>
      <c r="C41" s="36" t="s">
        <v>14</v>
      </c>
      <c r="D41" s="37"/>
      <c r="E41" s="37"/>
      <c r="F41" s="37"/>
      <c r="G41" s="38"/>
      <c r="H41" s="38"/>
    </row>
    <row r="42" spans="1:8" ht="19.5" customHeight="1" x14ac:dyDescent="0.25">
      <c r="A42" s="43" t="s">
        <v>15</v>
      </c>
      <c r="B42" s="43"/>
      <c r="C42" s="43"/>
      <c r="D42" s="44">
        <f>SUM(D11:D41)</f>
        <v>0</v>
      </c>
      <c r="E42" s="44">
        <f>SUM(E11:E41)</f>
        <v>0</v>
      </c>
      <c r="F42" s="44">
        <f>SUM(F11:F41)</f>
        <v>0</v>
      </c>
      <c r="G42" s="45"/>
      <c r="H42" s="45"/>
    </row>
    <row r="43" spans="1:8" ht="30" customHeight="1" x14ac:dyDescent="0.25">
      <c r="A43" s="46" t="s">
        <v>16</v>
      </c>
      <c r="B43" s="47"/>
      <c r="C43" s="47"/>
      <c r="D43" s="47"/>
      <c r="E43" s="47"/>
      <c r="F43" s="47"/>
      <c r="G43" s="47"/>
      <c r="H43" s="48"/>
    </row>
    <row r="44" spans="1:8" ht="19.5" customHeight="1" x14ac:dyDescent="0.25">
      <c r="A44" s="49" t="s">
        <v>17</v>
      </c>
      <c r="B44" s="50"/>
      <c r="C44" s="50"/>
      <c r="D44" s="50"/>
      <c r="E44" s="50"/>
      <c r="F44" s="50"/>
      <c r="G44" s="50"/>
      <c r="H44" s="51"/>
    </row>
    <row r="45" spans="1:8" ht="18" customHeight="1" x14ac:dyDescent="0.25">
      <c r="A45" s="52" t="s">
        <v>18</v>
      </c>
      <c r="B45" s="53"/>
      <c r="C45" s="53"/>
      <c r="D45" s="53"/>
      <c r="E45" s="54"/>
      <c r="F45" s="61">
        <f>D42+E42</f>
        <v>0</v>
      </c>
      <c r="G45" s="62"/>
      <c r="H45" s="63"/>
    </row>
    <row r="46" spans="1:8" ht="18" customHeight="1" x14ac:dyDescent="0.25">
      <c r="A46" s="52" t="s">
        <v>19</v>
      </c>
      <c r="B46" s="53"/>
      <c r="C46" s="53"/>
      <c r="D46" s="53"/>
      <c r="E46" s="54"/>
      <c r="F46" s="61">
        <f>F42</f>
        <v>0</v>
      </c>
      <c r="G46" s="62"/>
      <c r="H46" s="63"/>
    </row>
    <row r="47" spans="1:8" ht="18" customHeight="1" x14ac:dyDescent="0.25">
      <c r="A47" s="52" t="s">
        <v>20</v>
      </c>
      <c r="B47" s="53"/>
      <c r="C47" s="53"/>
      <c r="D47" s="53"/>
      <c r="E47" s="54"/>
      <c r="F47" s="64">
        <f>COUNTIFS(C11:C41,"ROTATION",B11:B41,"&lt;&gt;")</f>
        <v>0</v>
      </c>
      <c r="G47" s="65"/>
      <c r="H47" s="66"/>
    </row>
    <row r="48" spans="1:8" ht="18" customHeight="1" x14ac:dyDescent="0.25">
      <c r="A48" s="52" t="s">
        <v>21</v>
      </c>
      <c r="B48" s="53"/>
      <c r="C48" s="53"/>
      <c r="D48" s="53"/>
      <c r="E48" s="54"/>
      <c r="F48" s="64">
        <f>COUNTIFS(C11:C41,"SICK",B11:B41,"&lt;&gt;")</f>
        <v>0</v>
      </c>
      <c r="G48" s="65"/>
      <c r="H48" s="66"/>
    </row>
    <row r="49" spans="1:8" ht="18" customHeight="1" x14ac:dyDescent="0.25">
      <c r="A49" s="52" t="s">
        <v>22</v>
      </c>
      <c r="B49" s="53"/>
      <c r="C49" s="53"/>
      <c r="D49" s="53"/>
      <c r="E49" s="54"/>
      <c r="F49" s="64">
        <f>COUNTIFS(C11:C41,"HOLIDAY",B11:B41,"&lt;&gt;")</f>
        <v>0</v>
      </c>
      <c r="G49" s="65"/>
      <c r="H49" s="66"/>
    </row>
    <row r="50" spans="1:8" ht="18" customHeight="1" x14ac:dyDescent="0.25">
      <c r="A50" s="52" t="s">
        <v>23</v>
      </c>
      <c r="B50" s="53"/>
      <c r="C50" s="53"/>
      <c r="D50" s="53"/>
      <c r="E50" s="54"/>
      <c r="F50" s="64">
        <f>COUNTIFS(C11:C41,"TRAVEL",B11:B41,"&lt;&gt;")</f>
        <v>0</v>
      </c>
      <c r="G50" s="65"/>
      <c r="H50" s="66"/>
    </row>
    <row r="51" spans="1:8" ht="18" customHeight="1" x14ac:dyDescent="0.25">
      <c r="A51" s="52" t="s">
        <v>24</v>
      </c>
      <c r="B51" s="53"/>
      <c r="C51" s="53"/>
      <c r="D51" s="53"/>
      <c r="E51" s="54"/>
      <c r="F51" s="64">
        <f>COUNTIFS(C11:C41,"WEEKLY OFF",B11:B41,"&lt;&gt;")</f>
        <v>0</v>
      </c>
      <c r="G51" s="65"/>
      <c r="H51" s="66"/>
    </row>
    <row r="52" spans="1:8" x14ac:dyDescent="0.25">
      <c r="A52" s="55" t="s">
        <v>31</v>
      </c>
      <c r="B52" s="56"/>
      <c r="C52" s="56"/>
      <c r="D52" s="56"/>
      <c r="E52" s="57"/>
      <c r="F52" s="67">
        <f>COUNTIFS(C11:C41,"WORK",B11:B41,"&lt;&gt;")</f>
        <v>31</v>
      </c>
      <c r="G52" s="68"/>
      <c r="H52" s="69"/>
    </row>
    <row r="53" spans="1:8" x14ac:dyDescent="0.25">
      <c r="A53" s="58" t="s">
        <v>32</v>
      </c>
      <c r="B53" s="59"/>
      <c r="C53" s="59"/>
      <c r="D53" s="59"/>
      <c r="E53" s="60"/>
      <c r="F53" s="70">
        <f>IF(F52=0,0,F45/F52)</f>
        <v>0</v>
      </c>
      <c r="G53" s="68"/>
      <c r="H53" s="69"/>
    </row>
    <row r="54" spans="1:8" x14ac:dyDescent="0.25">
      <c r="A54" s="58" t="s">
        <v>33</v>
      </c>
      <c r="B54" s="59"/>
      <c r="C54" s="59"/>
      <c r="D54" s="59"/>
      <c r="E54" s="60"/>
      <c r="F54" s="71">
        <f>F45+F46</f>
        <v>0</v>
      </c>
      <c r="G54" s="72"/>
      <c r="H54" s="73"/>
    </row>
    <row r="55" spans="1:8" x14ac:dyDescent="0.25">
      <c r="A55" s="2"/>
      <c r="B55" s="2"/>
      <c r="C55" s="2"/>
      <c r="D55" s="2"/>
      <c r="E55" s="2"/>
      <c r="F55" s="2"/>
      <c r="G55" s="2"/>
      <c r="H55" s="2"/>
    </row>
    <row r="56" spans="1:8" x14ac:dyDescent="0.25">
      <c r="A56" s="6" t="s">
        <v>25</v>
      </c>
      <c r="B56" s="39" t="s">
        <v>26</v>
      </c>
      <c r="C56" s="39"/>
      <c r="D56" s="39"/>
      <c r="E56" s="5"/>
      <c r="F56" s="6" t="s">
        <v>27</v>
      </c>
      <c r="G56" s="39" t="s">
        <v>26</v>
      </c>
      <c r="H56" s="39"/>
    </row>
    <row r="57" spans="1:8" x14ac:dyDescent="0.25">
      <c r="A57" s="6" t="s">
        <v>28</v>
      </c>
      <c r="B57" s="40" t="s">
        <v>29</v>
      </c>
      <c r="C57" s="40"/>
      <c r="D57" s="40"/>
      <c r="E57" s="5"/>
      <c r="F57" s="5"/>
      <c r="G57" s="40" t="s">
        <v>29</v>
      </c>
      <c r="H57" s="40"/>
    </row>
    <row r="58" spans="1:8" x14ac:dyDescent="0.25">
      <c r="A58" s="6" t="s">
        <v>4</v>
      </c>
      <c r="B58" s="40" t="s">
        <v>5</v>
      </c>
      <c r="C58" s="40"/>
      <c r="D58" s="40"/>
      <c r="E58" s="5"/>
      <c r="F58" s="5"/>
      <c r="G58" s="40" t="s">
        <v>30</v>
      </c>
      <c r="H58" s="40"/>
    </row>
  </sheetData>
  <sheetProtection sheet="1" scenarios="1" formatCells="0"/>
  <mergeCells count="71">
    <mergeCell ref="B58:D58"/>
    <mergeCell ref="G58:H58"/>
    <mergeCell ref="A52:E52"/>
    <mergeCell ref="F52:H52"/>
    <mergeCell ref="A53:E53"/>
    <mergeCell ref="F53:H53"/>
    <mergeCell ref="A54:E54"/>
    <mergeCell ref="F54:H54"/>
    <mergeCell ref="A51:E51"/>
    <mergeCell ref="F51:H51"/>
    <mergeCell ref="B56:D56"/>
    <mergeCell ref="G56:H56"/>
    <mergeCell ref="B57:D57"/>
    <mergeCell ref="G57:H57"/>
    <mergeCell ref="A48:E48"/>
    <mergeCell ref="F48:H48"/>
    <mergeCell ref="A49:E49"/>
    <mergeCell ref="F49:H49"/>
    <mergeCell ref="A50:E50"/>
    <mergeCell ref="F50:H50"/>
    <mergeCell ref="A45:E45"/>
    <mergeCell ref="F45:H45"/>
    <mergeCell ref="A46:E46"/>
    <mergeCell ref="F46:H46"/>
    <mergeCell ref="A47:E47"/>
    <mergeCell ref="F47:H47"/>
    <mergeCell ref="G41:H41"/>
    <mergeCell ref="A42:C42"/>
    <mergeCell ref="G42:H42"/>
    <mergeCell ref="A43:H43"/>
    <mergeCell ref="A44:H44"/>
    <mergeCell ref="G36:H36"/>
    <mergeCell ref="G37:H37"/>
    <mergeCell ref="G38:H38"/>
    <mergeCell ref="G39:H39"/>
    <mergeCell ref="G40:H40"/>
    <mergeCell ref="G31:H31"/>
    <mergeCell ref="G32:H32"/>
    <mergeCell ref="G33:H33"/>
    <mergeCell ref="G34:H34"/>
    <mergeCell ref="G35:H35"/>
    <mergeCell ref="G26:H26"/>
    <mergeCell ref="G27:H27"/>
    <mergeCell ref="G28:H28"/>
    <mergeCell ref="G29:H29"/>
    <mergeCell ref="G30:H30"/>
    <mergeCell ref="G21:H21"/>
    <mergeCell ref="G22:H22"/>
    <mergeCell ref="G23:H23"/>
    <mergeCell ref="G24:H24"/>
    <mergeCell ref="G25:H25"/>
    <mergeCell ref="G16:H16"/>
    <mergeCell ref="G17:H17"/>
    <mergeCell ref="G18:H18"/>
    <mergeCell ref="G19:H19"/>
    <mergeCell ref="G20:H20"/>
    <mergeCell ref="G11:H11"/>
    <mergeCell ref="G12:H12"/>
    <mergeCell ref="G13:H13"/>
    <mergeCell ref="G14:H14"/>
    <mergeCell ref="G15:H15"/>
    <mergeCell ref="A9:A10"/>
    <mergeCell ref="B9:B10"/>
    <mergeCell ref="C9:C10"/>
    <mergeCell ref="F9:F10"/>
    <mergeCell ref="G9:H10"/>
    <mergeCell ref="A1:H5"/>
    <mergeCell ref="A6:E8"/>
    <mergeCell ref="G6:H6"/>
    <mergeCell ref="G7:H7"/>
    <mergeCell ref="G8:H8"/>
  </mergeCells>
  <conditionalFormatting sqref="C11:C41">
    <cfRule type="expression" dxfId="3" priority="1">
      <formula>AND(OR($C11="ROTATION",$C11="WEEKLY OFF"),SUM($D11:$F11)&gt;0)</formula>
    </cfRule>
  </conditionalFormatting>
  <conditionalFormatting sqref="F11:F41">
    <cfRule type="expression" dxfId="2" priority="2">
      <formula>AND($C11="TRAVEL",$F11=0)</formula>
    </cfRule>
  </conditionalFormatting>
  <conditionalFormatting sqref="G11:H41">
    <cfRule type="expression" dxfId="1" priority="3">
      <formula>AND(SUM($D11:$F11)&gt;0,$G11="")</formula>
    </cfRule>
  </conditionalFormatting>
  <conditionalFormatting sqref="A11:H41">
    <cfRule type="expression" dxfId="0" priority="4">
      <formula>$B11=""</formula>
    </cfRule>
  </conditionalFormatting>
  <dataValidations count="5">
    <dataValidation type="list" allowBlank="1" showInputMessage="1" showErrorMessage="1" errorTitle="Invalid Day Type" error="Select WORK, ROTATION, SICK, HOLIDAY, TRAVEL, or WEEKLY OFF." promptTitle="Day Type" prompt="Select a value from the list." sqref="C11:C41" xr:uid="{00000000-0002-0000-0000-000000000000}">
      <formula1>"WORK,ROTATION,SICK,HOLIDAY,TRAVEL,WEEKLY OFF"</formula1>
    </dataValidation>
    <dataValidation type="custom" allowBlank="1" showInputMessage="1" showErrorMessage="1" errorTitle="Invalid Hours" error="Enter hours from 0 to 24 in 0.5-hour increments (for example: 7, 7.5, or 8)." promptTitle="Hours" prompt="Use 0.5-hour increments between 0 and 24." sqref="D11:D41" xr:uid="{069E11DF-0B77-4F71-8FCA-9B1ACC87C66D}">
      <formula1>OR(D11="",AND(ISNUMBER(D11),D11&gt;=0,D11&lt;=24,MOD(D11,0.5)=0))</formula1>
    </dataValidation>
    <dataValidation type="custom" allowBlank="1" showInputMessage="1" showErrorMessage="1" errorTitle="Invalid Hours" error="Enter hours from 0 to 24 in 0.5-hour increments (for example: 7, 7.5, or 8)." promptTitle="Hours" prompt="Use 0.5-hour increments between 0 and 24." sqref="E11:E41" xr:uid="{FB2753FD-F737-4E39-B997-DBD66D96C10C}">
      <formula1>OR(E11="",AND(ISNUMBER(E11),E11&gt;=0,E11&lt;=24,MOD(E11,0.5)=0))</formula1>
    </dataValidation>
    <dataValidation type="custom" allowBlank="1" showInputMessage="1" showErrorMessage="1" errorTitle="Invalid Hours" error="Enter hours from 0 to 24 in 0.5-hour increments (for example: 7, 7.5, or 8)." promptTitle="Hours" prompt="Use 0.5-hour increments between 0 and 24." sqref="F11:F41" xr:uid="{6C7C616B-7E1C-4A63-93E6-2AC52B64AC24}">
      <formula1>OR(F11="",AND(ISNUMBER(F11),F11&gt;=0,F11&lt;=24,MOD(F11,0.5)=0))</formula1>
    </dataValidation>
    <dataValidation type="date" allowBlank="1" showInputMessage="1" showErrorMessage="1" errorTitle="Invalid Month" error="Enter a valid month and year, for example Aug-2026." promptTitle="Timesheet Month" prompt="Enter the month and year, for example Aug-2026." sqref="G6" xr:uid="{AC3042C7-2994-4704-9F62-A22D82B39B6D}">
      <formula1>36526</formula1>
      <formula2>73415</formula2>
    </dataValidation>
  </dataValidations>
  <printOptions horizontalCentered="1"/>
  <pageMargins left="0.2" right="0.2" top="0.25" bottom="0.25" header="0.125" footer="0.125"/>
  <pageSetup paperSize="9" scale="75" orientation="portrait" horizontalDpi="300" verticalDpi="300" r:id="rId1"/>
  <headerFooter>
    <oddHeader>&amp;C&amp;"Arial"&amp;10&amp;KF98F00 RESTRICTED&amp;1#_x000D_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395F7-E580-420F-9F61-2F7C0754C600}">
  <sheetPr>
    <pageSetUpPr fitToPage="1"/>
  </sheetPr>
  <dimension ref="B1:G16"/>
  <sheetViews>
    <sheetView showGridLines="0" zoomScaleNormal="100" workbookViewId="0">
      <selection activeCell="K8" sqref="K8"/>
    </sheetView>
  </sheetViews>
  <sheetFormatPr defaultColWidth="15.7109375" defaultRowHeight="27.75" customHeight="1" x14ac:dyDescent="0.25"/>
  <cols>
    <col min="2" max="2" width="2.5703125" bestFit="1" customWidth="1"/>
    <col min="3" max="7" width="14.85546875" customWidth="1"/>
  </cols>
  <sheetData>
    <row r="1" spans="2:7" ht="27.75" customHeight="1" x14ac:dyDescent="0.25">
      <c r="B1" s="8" t="s">
        <v>35</v>
      </c>
      <c r="C1" s="8"/>
      <c r="D1" s="8"/>
      <c r="E1" s="8"/>
      <c r="F1" s="8"/>
      <c r="G1" s="8"/>
    </row>
    <row r="2" spans="2:7" ht="27.75" customHeight="1" x14ac:dyDescent="0.25">
      <c r="B2" s="9" t="s">
        <v>36</v>
      </c>
      <c r="C2" s="9"/>
      <c r="D2" s="9"/>
      <c r="E2" s="9"/>
      <c r="F2" s="9"/>
      <c r="G2" s="9"/>
    </row>
    <row r="3" spans="2:7" ht="27.75" customHeight="1" x14ac:dyDescent="0.25">
      <c r="B3" s="10" t="s">
        <v>37</v>
      </c>
      <c r="C3" s="10"/>
      <c r="D3" s="10"/>
      <c r="E3" s="10"/>
      <c r="F3" s="10"/>
      <c r="G3" s="10"/>
    </row>
    <row r="4" spans="2:7" ht="27.75" customHeight="1" x14ac:dyDescent="0.25">
      <c r="B4" s="13">
        <v>1</v>
      </c>
      <c r="C4" s="14" t="s">
        <v>38</v>
      </c>
      <c r="D4" s="14"/>
      <c r="E4" s="14"/>
      <c r="F4" s="14"/>
      <c r="G4" s="15"/>
    </row>
    <row r="5" spans="2:7" ht="27.75" customHeight="1" x14ac:dyDescent="0.25">
      <c r="B5" s="13">
        <v>2</v>
      </c>
      <c r="C5" s="14" t="s">
        <v>39</v>
      </c>
      <c r="D5" s="14"/>
      <c r="E5" s="14"/>
      <c r="F5" s="14"/>
      <c r="G5" s="15"/>
    </row>
    <row r="6" spans="2:7" ht="27.75" customHeight="1" x14ac:dyDescent="0.25">
      <c r="B6" s="13">
        <v>3</v>
      </c>
      <c r="C6" s="14" t="s">
        <v>40</v>
      </c>
      <c r="D6" s="14"/>
      <c r="E6" s="14"/>
      <c r="F6" s="14"/>
      <c r="G6" s="15"/>
    </row>
    <row r="7" spans="2:7" ht="27.75" customHeight="1" x14ac:dyDescent="0.25">
      <c r="B7" s="13">
        <v>4</v>
      </c>
      <c r="C7" s="14" t="s">
        <v>41</v>
      </c>
      <c r="D7" s="14"/>
      <c r="E7" s="14"/>
      <c r="F7" s="14"/>
      <c r="G7" s="15"/>
    </row>
    <row r="8" spans="2:7" ht="27.75" customHeight="1" x14ac:dyDescent="0.25">
      <c r="B8" s="13">
        <v>5</v>
      </c>
      <c r="C8" s="14" t="s">
        <v>42</v>
      </c>
      <c r="D8" s="14"/>
      <c r="E8" s="14"/>
      <c r="F8" s="14"/>
      <c r="G8" s="15"/>
    </row>
    <row r="9" spans="2:7" ht="27.75" customHeight="1" x14ac:dyDescent="0.25">
      <c r="B9" s="13">
        <v>6</v>
      </c>
      <c r="C9" s="14" t="s">
        <v>43</v>
      </c>
      <c r="D9" s="14"/>
      <c r="E9" s="14"/>
      <c r="F9" s="14"/>
      <c r="G9" s="15"/>
    </row>
    <row r="10" spans="2:7" ht="27.75" customHeight="1" x14ac:dyDescent="0.25">
      <c r="B10" s="13">
        <v>7</v>
      </c>
      <c r="C10" s="14" t="s">
        <v>44</v>
      </c>
      <c r="D10" s="14"/>
      <c r="E10" s="14"/>
      <c r="F10" s="14"/>
      <c r="G10" s="15"/>
    </row>
    <row r="11" spans="2:7" ht="27.75" customHeight="1" x14ac:dyDescent="0.25">
      <c r="B11" s="7"/>
      <c r="C11" s="7"/>
      <c r="D11" s="7"/>
      <c r="E11" s="7"/>
      <c r="F11" s="7"/>
      <c r="G11" s="7"/>
    </row>
    <row r="12" spans="2:7" ht="27.75" customHeight="1" x14ac:dyDescent="0.25">
      <c r="B12" s="10" t="s">
        <v>45</v>
      </c>
      <c r="C12" s="10"/>
      <c r="D12" s="10"/>
      <c r="E12" s="10"/>
      <c r="F12" s="10"/>
      <c r="G12" s="10"/>
    </row>
    <row r="13" spans="2:7" ht="27.75" customHeight="1" x14ac:dyDescent="0.25">
      <c r="B13" s="11" t="s">
        <v>46</v>
      </c>
      <c r="C13" s="11"/>
      <c r="D13" s="11"/>
      <c r="E13" s="11"/>
      <c r="F13" s="11"/>
      <c r="G13" s="11"/>
    </row>
    <row r="14" spans="2:7" ht="27.75" customHeight="1" x14ac:dyDescent="0.25">
      <c r="B14" s="11" t="s">
        <v>47</v>
      </c>
      <c r="C14" s="11"/>
      <c r="D14" s="11"/>
      <c r="E14" s="11"/>
      <c r="F14" s="11"/>
      <c r="G14" s="11"/>
    </row>
    <row r="15" spans="2:7" ht="27.75" customHeight="1" x14ac:dyDescent="0.25">
      <c r="B15" s="12" t="s">
        <v>48</v>
      </c>
      <c r="C15" s="12"/>
      <c r="D15" s="12"/>
      <c r="E15" s="12"/>
      <c r="F15" s="12"/>
      <c r="G15" s="12"/>
    </row>
    <row r="16" spans="2:7" ht="27.75" customHeight="1" x14ac:dyDescent="0.25">
      <c r="B16" s="12" t="s">
        <v>49</v>
      </c>
      <c r="C16" s="12"/>
      <c r="D16" s="12"/>
      <c r="E16" s="12"/>
      <c r="F16" s="12"/>
      <c r="G16" s="12"/>
    </row>
  </sheetData>
  <mergeCells count="15">
    <mergeCell ref="B14:G14"/>
    <mergeCell ref="B15:G15"/>
    <mergeCell ref="B16:G16"/>
    <mergeCell ref="C7:G7"/>
    <mergeCell ref="C8:G8"/>
    <mergeCell ref="C9:G9"/>
    <mergeCell ref="C10:G10"/>
    <mergeCell ref="B12:G12"/>
    <mergeCell ref="B13:G13"/>
    <mergeCell ref="B1:G1"/>
    <mergeCell ref="B2:G2"/>
    <mergeCell ref="B3:G3"/>
    <mergeCell ref="C4:G4"/>
    <mergeCell ref="C5:G5"/>
    <mergeCell ref="C6:G6"/>
  </mergeCells>
  <printOptions horizontalCentered="1"/>
  <pageMargins left="0.33333333333333331" right="0.33333333333333331" top="0.33333333333333331" bottom="0.33333333333333331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90873683-9a87-4f90-be50-5ae66727a809}" enabled="1" method="Privileged" siteId="{5c5456f4-c402-40c5-a73d-e78777e7bf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Timesheet</vt:lpstr>
      <vt:lpstr>Instructions</vt:lpstr>
      <vt:lpstr>Instructions!Print_Area</vt:lpstr>
      <vt:lpstr>Timesheet!Print_Area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Nayara Nunes</cp:lastModifiedBy>
  <cp:revision>0</cp:revision>
  <cp:lastPrinted>2026-08-20T08:36:25Z</cp:lastPrinted>
  <dcterms:created xsi:type="dcterms:W3CDTF">2026-08-20T06:26:01Z</dcterms:created>
  <dcterms:modified xsi:type="dcterms:W3CDTF">2026-08-20T08:50:48Z</dcterms:modified>
  <dc:language>en-US</dc:language>
</cp:coreProperties>
</file>