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500" firstSheet="0" activeTab="0" autoFilterDateGrouping="1"/>
  </bookViews>
  <sheets>
    <sheet name="Timesheet" sheetId="1" state="visible" r:id="rId1"/>
    <sheet name="Instructions" sheetId="2" state="visible" r:id="rId2"/>
  </sheets>
  <definedNames>
    <definedName name="_xlnm.Print_Area" localSheetId="0">'Timesheet'!$A$1:$H$58</definedName>
    <definedName name="_xlnm.Print_Area" localSheetId="1">'Instructions'!$B$1:$G$16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dddd"/>
    <numFmt numFmtId="165" formatCode="[$-409]d\-mmm\-yy;@"/>
    <numFmt numFmtId="166" formatCode="0.0"/>
    <numFmt numFmtId="167" formatCode="[$-409]mmm\-yyyy"/>
  </numFmts>
  <fonts count="19">
    <font>
      <name val="Calibri"/>
      <charset val="1"/>
      <family val="2"/>
      <color theme="1"/>
      <sz val="11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8"/>
    </font>
    <font>
      <name val="Calibri"/>
      <family val="2"/>
      <color rgb="FF090909"/>
      <sz val="10"/>
    </font>
    <font>
      <name val="Calibri"/>
      <family val="2"/>
      <i val="1"/>
      <color rgb="FF404040"/>
      <sz val="10"/>
    </font>
    <font>
      <name val="Calibri"/>
      <family val="2"/>
      <b val="1"/>
      <color rgb="FFFFFFFF"/>
      <sz val="13"/>
    </font>
    <font>
      <name val="Calibri"/>
      <family val="2"/>
      <color rgb="FF404040"/>
      <sz val="10"/>
    </font>
    <font>
      <name val="Calibri"/>
      <family val="2"/>
      <b val="1"/>
      <color rgb="FF090909"/>
      <sz val="28"/>
    </font>
    <font>
      <name val="Calibri"/>
      <family val="2"/>
      <b val="1"/>
      <color rgb="FF090909"/>
      <sz val="11"/>
    </font>
    <font>
      <name val="Calibri"/>
      <family val="2"/>
      <b val="1"/>
      <i val="1"/>
      <color rgb="FF090909"/>
      <sz val="11"/>
    </font>
    <font>
      <name val="Calibri"/>
      <family val="2"/>
      <color rgb="FF090909"/>
      <sz val="11"/>
    </font>
    <font>
      <name val="Calibri"/>
      <charset val="1"/>
      <family val="2"/>
      <color rgb="FF090909"/>
      <sz val="11"/>
    </font>
    <font>
      <name val="Calibri"/>
      <family val="2"/>
      <b val="1"/>
      <i val="1"/>
      <color rgb="FFFFFFFF"/>
      <sz val="11"/>
    </font>
    <font>
      <name val="Calibri"/>
      <family val="2"/>
      <b val="1"/>
      <color rgb="FF090909"/>
      <sz val="12"/>
    </font>
    <font>
      <name val="Calibri"/>
      <charset val="1"/>
      <family val="2"/>
      <b val="1"/>
      <color rgb="FF090909"/>
      <sz val="11"/>
    </font>
    <font>
      <name val="Calibri"/>
      <family val="2"/>
      <i val="1"/>
      <color rgb="FF404040"/>
      <sz val="9"/>
    </font>
  </fonts>
  <fills count="7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9090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2814"/>
        <bgColor indexed="64"/>
      </patternFill>
    </fill>
    <fill>
      <patternFill patternType="solid">
        <fgColor rgb="FFD9D9D9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11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9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 wrapText="1"/>
    </xf>
    <xf numFmtId="0" fontId="8" fillId="3" borderId="25" applyAlignment="1" pivotButton="0" quotePrefix="0" xfId="0">
      <alignment horizontal="center" vertical="center"/>
    </xf>
    <xf numFmtId="0" fontId="6" fillId="4" borderId="26" applyAlignment="1" pivotButton="0" quotePrefix="0" xfId="0">
      <alignment horizontal="left" vertical="center" wrapText="1"/>
    </xf>
    <xf numFmtId="0" fontId="6" fillId="4" borderId="27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1" fillId="2" borderId="7" applyAlignment="1" applyProtection="1" pivotButton="0" quotePrefix="0" xfId="0">
      <alignment horizontal="left" vertical="center"/>
      <protection locked="0" hidden="0"/>
    </xf>
    <xf numFmtId="0" fontId="11" fillId="2" borderId="5" applyAlignment="1" applyProtection="1" pivotButton="0" quotePrefix="0" xfId="0">
      <alignment horizontal="left" vertical="center"/>
      <protection locked="0" hidden="0"/>
    </xf>
    <xf numFmtId="0" fontId="11" fillId="2" borderId="10" applyAlignment="1" applyProtection="1" pivotButton="0" quotePrefix="0" xfId="0">
      <alignment horizontal="left" vertical="center"/>
      <protection locked="0" hidden="0"/>
    </xf>
    <xf numFmtId="0" fontId="11" fillId="2" borderId="8" applyAlignment="1" applyProtection="1" pivotButton="0" quotePrefix="0" xfId="0">
      <alignment horizontal="left" vertical="center"/>
      <protection locked="0" hidden="0"/>
    </xf>
    <xf numFmtId="0" fontId="11" fillId="2" borderId="1" applyAlignment="1" applyProtection="1" pivotButton="0" quotePrefix="0" xfId="0">
      <alignment horizontal="left" vertical="center"/>
      <protection locked="0" hidden="0"/>
    </xf>
    <xf numFmtId="0" fontId="11" fillId="2" borderId="2" applyAlignment="1" applyProtection="1" pivotButton="0" quotePrefix="0" xfId="0">
      <alignment horizontal="left" vertical="center"/>
      <protection locked="0" hidden="0"/>
    </xf>
    <xf numFmtId="0" fontId="11" fillId="2" borderId="9" applyAlignment="1" applyProtection="1" pivotButton="0" quotePrefix="0" xfId="0">
      <alignment horizontal="left" vertical="center"/>
      <protection locked="0" hidden="0"/>
    </xf>
    <xf numFmtId="0" fontId="11" fillId="2" borderId="6" applyAlignment="1" applyProtection="1" pivotButton="0" quotePrefix="0" xfId="0">
      <alignment horizontal="left" vertical="center"/>
      <protection locked="0" hidden="0"/>
    </xf>
    <xf numFmtId="0" fontId="11" fillId="2" borderId="15" applyAlignment="1" applyProtection="1" pivotButton="0" quotePrefix="0" xfId="0">
      <alignment horizontal="left" vertical="center"/>
      <protection locked="0" hidden="0"/>
    </xf>
    <xf numFmtId="0" fontId="12" fillId="2" borderId="14" applyAlignment="1" applyProtection="1" pivotButton="0" quotePrefix="0" xfId="0">
      <alignment horizontal="left" vertical="center"/>
      <protection locked="0" hidden="0"/>
    </xf>
    <xf numFmtId="0" fontId="12" fillId="2" borderId="13" applyAlignment="1" applyProtection="1" pivotButton="0" quotePrefix="0" xfId="0">
      <alignment horizontal="left" vertical="center"/>
      <protection locked="0" hidden="0"/>
    </xf>
    <xf numFmtId="0" fontId="12" fillId="2" borderId="11" applyAlignment="1" applyProtection="1" pivotButton="0" quotePrefix="0" xfId="0">
      <alignment horizontal="left" vertical="center"/>
      <protection locked="0" hidden="0"/>
    </xf>
    <xf numFmtId="0" fontId="12" fillId="2" borderId="12" applyAlignment="1" applyProtection="1" pivotButton="0" quotePrefix="0" xfId="0">
      <alignment horizontal="left" vertical="center"/>
      <protection locked="0" hidden="0"/>
    </xf>
    <xf numFmtId="165" fontId="13" fillId="2" borderId="1" applyAlignment="1" pivotButton="0" quotePrefix="0" xfId="0">
      <alignment horizontal="center" vertical="center"/>
    </xf>
    <xf numFmtId="0" fontId="13" fillId="2" borderId="1" applyAlignment="1" applyProtection="1" pivotButton="0" quotePrefix="0" xfId="0">
      <alignment horizontal="center" vertical="center"/>
      <protection locked="0" hidden="0"/>
    </xf>
    <xf numFmtId="166" fontId="13" fillId="2" borderId="1" applyAlignment="1" applyProtection="1" pivotButton="0" quotePrefix="0" xfId="0">
      <alignment horizontal="center" vertical="center"/>
      <protection locked="0" hidden="0"/>
    </xf>
    <xf numFmtId="0" fontId="14" fillId="2" borderId="1" applyAlignment="1" applyProtection="1" pivotButton="0" quotePrefix="0" xfId="0">
      <alignment horizontal="left" vertical="center" wrapText="1"/>
      <protection locked="0" hidden="0"/>
    </xf>
    <xf numFmtId="0" fontId="11" fillId="2" borderId="24" applyAlignment="1" applyProtection="1" pivotButton="0" quotePrefix="0" xfId="0">
      <alignment horizontal="center" vertical="center"/>
      <protection locked="0" hidden="0"/>
    </xf>
    <xf numFmtId="0" fontId="11" fillId="2" borderId="0" applyAlignment="1" applyProtection="1" pivotButton="0" quotePrefix="0" xfId="0">
      <alignment horizontal="center" vertical="center"/>
      <protection locked="0" hidden="0"/>
    </xf>
    <xf numFmtId="167" fontId="15" fillId="5" borderId="13" applyAlignment="1" applyProtection="1" pivotButton="0" quotePrefix="0" xfId="0">
      <alignment horizontal="center" vertical="center"/>
      <protection locked="0" hidden="0"/>
    </xf>
    <xf numFmtId="0" fontId="15" fillId="5" borderId="14" applyAlignment="1" applyProtection="1" pivotButton="0" quotePrefix="0" xfId="0">
      <alignment horizontal="left" vertical="center"/>
      <protection locked="0" hidden="0"/>
    </xf>
    <xf numFmtId="0" fontId="11" fillId="6" borderId="16" applyAlignment="1" pivotButton="0" quotePrefix="0" xfId="0">
      <alignment horizontal="center" vertical="center"/>
    </xf>
    <xf numFmtId="166" fontId="16" fillId="6" borderId="16" applyAlignment="1" pivotButton="0" quotePrefix="0" xfId="0">
      <alignment horizontal="center" vertical="center"/>
    </xf>
    <xf numFmtId="0" fontId="17" fillId="6" borderId="16" pivotButton="0" quotePrefix="0" xfId="0"/>
    <xf numFmtId="0" fontId="18" fillId="2" borderId="13" applyAlignment="1" pivotButton="0" quotePrefix="0" xfId="0">
      <alignment horizontal="left" vertical="center" wrapText="1"/>
    </xf>
    <xf numFmtId="0" fontId="18" fillId="2" borderId="17" applyAlignment="1" pivotButton="0" quotePrefix="0" xfId="0">
      <alignment horizontal="left" vertical="center" wrapText="1"/>
    </xf>
    <xf numFmtId="0" fontId="18" fillId="2" borderId="20" applyAlignment="1" pivotButton="0" quotePrefix="0" xfId="0">
      <alignment horizontal="left" vertical="center" wrapText="1"/>
    </xf>
    <xf numFmtId="0" fontId="3" fillId="5" borderId="13" applyAlignment="1" pivotButton="0" quotePrefix="0" xfId="0">
      <alignment horizontal="center" vertical="center"/>
    </xf>
    <xf numFmtId="0" fontId="3" fillId="5" borderId="17" applyAlignment="1" pivotButton="0" quotePrefix="0" xfId="0">
      <alignment horizontal="center" vertical="center"/>
    </xf>
    <xf numFmtId="0" fontId="3" fillId="5" borderId="20" applyAlignment="1" pivotButton="0" quotePrefix="0" xfId="0">
      <alignment horizontal="center" vertical="center"/>
    </xf>
    <xf numFmtId="0" fontId="11" fillId="2" borderId="21" applyAlignment="1" pivotButton="0" quotePrefix="0" xfId="0">
      <alignment horizontal="left" vertical="center"/>
    </xf>
    <xf numFmtId="0" fontId="11" fillId="2" borderId="22" applyAlignment="1" pivotButton="0" quotePrefix="0" xfId="0">
      <alignment horizontal="left" vertical="center"/>
    </xf>
    <xf numFmtId="0" fontId="11" fillId="2" borderId="23" applyAlignment="1" pivotButton="0" quotePrefix="0" xfId="0">
      <alignment horizontal="left" vertical="center"/>
    </xf>
    <xf numFmtId="0" fontId="11" fillId="2" borderId="11" pivotButton="0" quotePrefix="0" xfId="0"/>
    <xf numFmtId="0" fontId="11" fillId="2" borderId="18" pivotButton="0" quotePrefix="0" xfId="0"/>
    <xf numFmtId="0" fontId="11" fillId="2" borderId="19" pivotButton="0" quotePrefix="0" xfId="0"/>
    <xf numFmtId="0" fontId="11" fillId="2" borderId="11" applyAlignment="1" pivotButton="0" quotePrefix="0" xfId="0">
      <alignment horizontal="left" vertical="center"/>
    </xf>
    <xf numFmtId="0" fontId="11" fillId="2" borderId="18" applyAlignment="1" pivotButton="0" quotePrefix="0" xfId="0">
      <alignment horizontal="left" vertical="center"/>
    </xf>
    <xf numFmtId="0" fontId="11" fillId="2" borderId="19" applyAlignment="1" pivotButton="0" quotePrefix="0" xfId="0">
      <alignment horizontal="left" vertical="center"/>
    </xf>
    <xf numFmtId="166" fontId="16" fillId="4" borderId="21" applyAlignment="1" pivotButton="0" quotePrefix="0" xfId="0">
      <alignment horizontal="center" vertical="center"/>
    </xf>
    <xf numFmtId="166" fontId="16" fillId="4" borderId="22" applyAlignment="1" pivotButton="0" quotePrefix="0" xfId="0">
      <alignment horizontal="center" vertical="center"/>
    </xf>
    <xf numFmtId="166" fontId="16" fillId="4" borderId="14" applyAlignment="1" pivotButton="0" quotePrefix="0" xfId="0">
      <alignment horizontal="center" vertical="center"/>
    </xf>
    <xf numFmtId="1" fontId="16" fillId="4" borderId="21" applyAlignment="1" pivotButton="0" quotePrefix="0" xfId="0">
      <alignment horizontal="center" vertical="center"/>
    </xf>
    <xf numFmtId="1" fontId="16" fillId="4" borderId="22" applyAlignment="1" pivotButton="0" quotePrefix="0" xfId="0">
      <alignment horizontal="center" vertical="center"/>
    </xf>
    <xf numFmtId="1" fontId="16" fillId="4" borderId="14" applyAlignment="1" pivotButton="0" quotePrefix="0" xfId="0">
      <alignment horizontal="center" vertical="center"/>
    </xf>
    <xf numFmtId="1" fontId="11" fillId="4" borderId="13" applyAlignment="1" pivotButton="0" quotePrefix="0" xfId="0">
      <alignment horizontal="center"/>
    </xf>
    <xf numFmtId="0" fontId="11" fillId="4" borderId="17" applyAlignment="1" pivotButton="0" quotePrefix="0" xfId="0">
      <alignment horizontal="center"/>
    </xf>
    <xf numFmtId="0" fontId="11" fillId="4" borderId="20" applyAlignment="1" pivotButton="0" quotePrefix="0" xfId="0">
      <alignment horizontal="center"/>
    </xf>
    <xf numFmtId="166" fontId="11" fillId="4" borderId="13" applyAlignment="1" pivotButton="0" quotePrefix="0" xfId="0">
      <alignment horizontal="center"/>
    </xf>
    <xf numFmtId="166" fontId="11" fillId="4" borderId="11" applyAlignment="1" pivotButton="0" quotePrefix="0" xfId="0">
      <alignment horizontal="center"/>
    </xf>
    <xf numFmtId="0" fontId="11" fillId="4" borderId="18" applyAlignment="1" pivotButton="0" quotePrefix="0" xfId="0">
      <alignment horizontal="center"/>
    </xf>
    <xf numFmtId="0" fontId="11" fillId="4" borderId="19" applyAlignment="1" pivotButton="0" quotePrefix="0" xfId="0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0" pivotButton="0" quotePrefix="0" xfId="0"/>
    <xf numFmtId="0" fontId="0" fillId="0" borderId="17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7" fontId="15" fillId="5" borderId="29" applyAlignment="1" applyProtection="1" pivotButton="0" quotePrefix="0" xfId="0">
      <alignment horizontal="center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12" fillId="2" borderId="29" applyAlignment="1" applyProtection="1" pivotButton="0" quotePrefix="0" xfId="0">
      <alignment horizontal="left" vertical="center"/>
      <protection locked="0" hidden="0"/>
    </xf>
    <xf numFmtId="0" fontId="0" fillId="0" borderId="43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12" fillId="2" borderId="28" applyAlignment="1" applyProtection="1" pivotButton="0" quotePrefix="0" xfId="0">
      <alignment horizontal="left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4" pivotButton="0" quotePrefix="0" xfId="0"/>
    <xf numFmtId="0" fontId="0" fillId="0" borderId="33" applyProtection="1" pivotButton="0" quotePrefix="0" xfId="0">
      <protection locked="0" hidden="0"/>
    </xf>
    <xf numFmtId="0" fontId="0" fillId="0" borderId="34" pivotButton="0" quotePrefix="0" xfId="0"/>
    <xf numFmtId="0" fontId="0" fillId="0" borderId="35" pivotButton="0" quotePrefix="0" xfId="0"/>
    <xf numFmtId="0" fontId="18" fillId="2" borderId="2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20" pivotButton="0" quotePrefix="0" xfId="0"/>
    <xf numFmtId="0" fontId="3" fillId="5" borderId="29" applyAlignment="1" pivotButton="0" quotePrefix="0" xfId="0">
      <alignment horizontal="center" vertical="center"/>
    </xf>
    <xf numFmtId="0" fontId="0" fillId="0" borderId="30" pivotButton="0" quotePrefix="0" xfId="0"/>
    <xf numFmtId="0" fontId="11" fillId="2" borderId="28" pivotButton="0" quotePrefix="0" xfId="0"/>
    <xf numFmtId="0" fontId="0" fillId="0" borderId="18" pivotButton="0" quotePrefix="0" xfId="0"/>
    <xf numFmtId="0" fontId="0" fillId="0" borderId="19" pivotButton="0" quotePrefix="0" xfId="0"/>
    <xf numFmtId="1" fontId="11" fillId="4" borderId="29" applyAlignment="1" pivotButton="0" quotePrefix="0" xfId="0">
      <alignment horizontal="center"/>
    </xf>
    <xf numFmtId="0" fontId="11" fillId="2" borderId="28" applyAlignment="1" pivotButton="0" quotePrefix="0" xfId="0">
      <alignment horizontal="left" vertical="center"/>
    </xf>
    <xf numFmtId="166" fontId="11" fillId="4" borderId="29" applyAlignment="1" pivotButton="0" quotePrefix="0" xfId="0">
      <alignment horizontal="center"/>
    </xf>
    <xf numFmtId="166" fontId="11" fillId="4" borderId="28" applyAlignment="1" pivotButton="0" quotePrefix="0" xfId="0">
      <alignment horizontal="center"/>
    </xf>
    <xf numFmtId="0" fontId="0" fillId="0" borderId="24" applyProtection="1" pivotButton="0" quotePrefix="0" xfId="0">
      <protection locked="0" hidden="0"/>
    </xf>
    <xf numFmtId="0" fontId="0" fillId="0" borderId="26" pivotButton="0" quotePrefix="0" xfId="0"/>
    <xf numFmtId="0" fontId="0" fillId="0" borderId="27" pivotButton="0" quotePrefix="0" xfId="0"/>
  </cellXfs>
  <cellStyles count="1">
    <cellStyle name="Normal" xfId="0" builtinId="0"/>
  </cellStyles>
  <dxfs count="4">
    <dxf>
      <font>
        <color rgb="FFA6A6A6"/>
      </font>
      <fill>
        <patternFill patternType="solid">
          <fgColor indexed="64"/>
          <bgColor rgb="FFE7E6E6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95250</colOff>
      <row>0</row>
      <rowOff>9525</rowOff>
    </from>
    <to>
      <col>2</col>
      <colOff>171450</colOff>
      <row>4</row>
      <rowOff>183681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95250" y="9525"/>
          <a:ext cx="2238375" cy="93615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161925</colOff>
      <row>0</row>
      <rowOff>0</rowOff>
    </from>
    <to>
      <col>2</col>
      <colOff>273755</colOff>
      <row>4</row>
      <rowOff>189058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1925" y="0"/>
          <a:ext cx="2274005" cy="951058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showGridLines="0" tabSelected="1" zoomScaleNormal="100" workbookViewId="0">
      <selection activeCell="M13" sqref="M13"/>
    </sheetView>
  </sheetViews>
  <sheetFormatPr baseColWidth="8" defaultColWidth="8.7109375" defaultRowHeight="15"/>
  <cols>
    <col width="17.140625" customWidth="1" style="5" min="1" max="1"/>
    <col width="15.28515625" customWidth="1" style="5" min="2" max="2"/>
    <col width="17.140625" customWidth="1" style="5" min="3" max="3"/>
    <col width="12.42578125" customWidth="1" style="5" min="4" max="5"/>
    <col width="16.140625" customWidth="1" style="5" min="6" max="6"/>
    <col width="21" customWidth="1" style="5" min="7" max="8"/>
  </cols>
  <sheetData>
    <row r="1" ht="15" customHeight="1" s="5">
      <c r="A1" s="16" t="inlineStr">
        <is>
          <t>TIMESHEET</t>
        </is>
      </c>
      <c r="B1" s="74" t="n"/>
      <c r="C1" s="74" t="n"/>
      <c r="D1" s="74" t="n"/>
      <c r="E1" s="74" t="n"/>
      <c r="F1" s="74" t="n"/>
      <c r="G1" s="74" t="n"/>
      <c r="H1" s="75" t="n"/>
    </row>
    <row r="2" ht="15" customHeight="1" s="5">
      <c r="A2" s="76" t="n"/>
      <c r="H2" s="77" t="n"/>
    </row>
    <row r="3" ht="15" customHeight="1" s="5">
      <c r="A3" s="76" t="n"/>
      <c r="H3" s="77" t="n"/>
    </row>
    <row r="4" ht="15" customHeight="1" s="5">
      <c r="A4" s="76" t="n"/>
      <c r="H4" s="77" t="n"/>
    </row>
    <row r="5" ht="18" customHeight="1" s="5">
      <c r="A5" s="78" t="n"/>
      <c r="B5" s="79" t="n"/>
      <c r="C5" s="79" t="n"/>
      <c r="D5" s="79" t="n"/>
      <c r="E5" s="79" t="n"/>
      <c r="F5" s="79" t="n"/>
      <c r="G5" s="79" t="n"/>
      <c r="H5" s="80" t="n"/>
    </row>
    <row r="6" ht="15.75" customHeight="1" s="5">
      <c r="A6" s="22" t="inlineStr">
        <is>
          <t>NAME:  Prime Admin</t>
        </is>
      </c>
      <c r="B6" s="81" t="n"/>
      <c r="C6" s="81" t="n"/>
      <c r="D6" s="81" t="n"/>
      <c r="E6" s="82" t="n"/>
      <c r="F6" s="4" t="inlineStr">
        <is>
          <t>MONTH:</t>
        </is>
      </c>
      <c r="G6" s="83" t="inlineStr">
        <is>
          <t>Aug-2026</t>
        </is>
      </c>
      <c r="H6" s="84" t="n"/>
    </row>
    <row r="7" ht="15.75" customHeight="1" s="5">
      <c r="A7" s="85" t="n"/>
      <c r="B7" s="86" t="n"/>
      <c r="C7" s="86" t="n"/>
      <c r="D7" s="86" t="n"/>
      <c r="E7" s="87" t="n"/>
      <c r="F7" s="4" t="inlineStr">
        <is>
          <t>EMPLOYEE ID:</t>
        </is>
      </c>
      <c r="G7" s="88" t="inlineStr">
        <is>
          <t>prime</t>
        </is>
      </c>
      <c r="H7" s="84" t="n"/>
    </row>
    <row r="8" ht="15.75" customHeight="1" s="5">
      <c r="A8" s="89" t="n"/>
      <c r="B8" s="90" t="n"/>
      <c r="C8" s="90" t="n"/>
      <c r="D8" s="90" t="n"/>
      <c r="E8" s="91" t="n"/>
      <c r="F8" s="3" t="inlineStr">
        <is>
          <t>DESIGNATION:</t>
        </is>
      </c>
      <c r="G8" s="92" t="inlineStr">
        <is>
          <t>superuser</t>
        </is>
      </c>
      <c r="H8" s="93" t="n"/>
    </row>
    <row r="9" ht="16.5" customHeight="1" s="5">
      <c r="A9" s="19" t="inlineStr">
        <is>
          <t>WEEKDAY</t>
        </is>
      </c>
      <c r="B9" s="19" t="inlineStr">
        <is>
          <t>DATE</t>
        </is>
      </c>
      <c r="C9" s="19" t="inlineStr">
        <is>
          <t>DAY TYPE</t>
        </is>
      </c>
      <c r="D9" s="19" t="inlineStr">
        <is>
          <t>REGULAR</t>
        </is>
      </c>
      <c r="E9" s="19" t="inlineStr">
        <is>
          <t>OVERTIME</t>
        </is>
      </c>
      <c r="F9" s="19" t="inlineStr">
        <is>
          <t>TRAVEL HOURS</t>
        </is>
      </c>
      <c r="G9" s="19" t="inlineStr">
        <is>
          <t>WORK DESCRIPTION</t>
        </is>
      </c>
      <c r="H9" s="77" t="n"/>
    </row>
    <row r="10" ht="16.5" customHeight="1" s="5">
      <c r="A10" s="94" t="n"/>
      <c r="B10" s="94" t="n"/>
      <c r="C10" s="94" t="n"/>
      <c r="D10" s="21" t="inlineStr">
        <is>
          <t>(Hours)</t>
        </is>
      </c>
      <c r="E10" s="21" t="inlineStr">
        <is>
          <t>(Hours)</t>
        </is>
      </c>
      <c r="F10" s="94" t="n"/>
      <c r="G10" s="78" t="n"/>
      <c r="H10" s="80" t="n"/>
    </row>
    <row r="11">
      <c r="A11" s="1" t="inlineStr">
        <is>
          <t>Saturday</t>
        </is>
      </c>
      <c r="B11" s="35" t="inlineStr">
        <is>
          <t>01/08/2026</t>
        </is>
      </c>
      <c r="C11" s="36" t="inlineStr">
        <is>
          <t>WEEKLY OFF</t>
        </is>
      </c>
      <c r="D11" s="37" t="n">
        <v>0</v>
      </c>
      <c r="E11" s="37" t="n">
        <v>0</v>
      </c>
      <c r="F11" s="37" t="n">
        <v>0</v>
      </c>
      <c r="G11" s="38" t="inlineStr"/>
      <c r="H11" s="95" t="n"/>
    </row>
    <row r="12">
      <c r="A12" s="1" t="inlineStr">
        <is>
          <t>Sunday</t>
        </is>
      </c>
      <c r="B12" s="35" t="inlineStr">
        <is>
          <t>02/08/2026</t>
        </is>
      </c>
      <c r="C12" s="36" t="inlineStr">
        <is>
          <t>WEEKLY OFF</t>
        </is>
      </c>
      <c r="D12" s="37" t="n">
        <v>0</v>
      </c>
      <c r="E12" s="37" t="n">
        <v>0</v>
      </c>
      <c r="F12" s="37" t="n">
        <v>0</v>
      </c>
      <c r="G12" s="38" t="inlineStr"/>
      <c r="H12" s="95" t="n"/>
    </row>
    <row r="13">
      <c r="A13" s="1" t="inlineStr">
        <is>
          <t>Monday</t>
        </is>
      </c>
      <c r="B13" s="35" t="inlineStr">
        <is>
          <t>03/08/2026</t>
        </is>
      </c>
      <c r="C13" s="36" t="inlineStr">
        <is>
          <t>WORK</t>
        </is>
      </c>
      <c r="D13" s="37" t="n">
        <v>0</v>
      </c>
      <c r="E13" s="37" t="n">
        <v>0</v>
      </c>
      <c r="F13" s="37" t="n">
        <v>0</v>
      </c>
      <c r="G13" s="38" t="inlineStr"/>
      <c r="H13" s="95" t="n"/>
    </row>
    <row r="14">
      <c r="A14" s="1" t="inlineStr">
        <is>
          <t>Tuesday</t>
        </is>
      </c>
      <c r="B14" s="35" t="inlineStr">
        <is>
          <t>04/08/2026</t>
        </is>
      </c>
      <c r="C14" s="36" t="inlineStr">
        <is>
          <t>WORK</t>
        </is>
      </c>
      <c r="D14" s="37" t="n">
        <v>0</v>
      </c>
      <c r="E14" s="37" t="n">
        <v>0</v>
      </c>
      <c r="F14" s="37" t="n">
        <v>0</v>
      </c>
      <c r="G14" s="38" t="inlineStr"/>
      <c r="H14" s="95" t="n"/>
    </row>
    <row r="15">
      <c r="A15" s="1" t="inlineStr">
        <is>
          <t>Wednesday</t>
        </is>
      </c>
      <c r="B15" s="35" t="inlineStr">
        <is>
          <t>05/08/2026</t>
        </is>
      </c>
      <c r="C15" s="36" t="inlineStr">
        <is>
          <t>WORK</t>
        </is>
      </c>
      <c r="D15" s="37" t="n">
        <v>0</v>
      </c>
      <c r="E15" s="37" t="n">
        <v>0</v>
      </c>
      <c r="F15" s="37" t="n">
        <v>0</v>
      </c>
      <c r="G15" s="38" t="inlineStr"/>
      <c r="H15" s="95" t="n"/>
    </row>
    <row r="16">
      <c r="A16" s="1" t="inlineStr">
        <is>
          <t>Thursday</t>
        </is>
      </c>
      <c r="B16" s="35" t="inlineStr">
        <is>
          <t>06/08/2026</t>
        </is>
      </c>
      <c r="C16" s="36" t="inlineStr">
        <is>
          <t>WORK</t>
        </is>
      </c>
      <c r="D16" s="37" t="n">
        <v>0</v>
      </c>
      <c r="E16" s="37" t="n">
        <v>0</v>
      </c>
      <c r="F16" s="37" t="n">
        <v>0</v>
      </c>
      <c r="G16" s="38" t="inlineStr"/>
      <c r="H16" s="95" t="n"/>
    </row>
    <row r="17">
      <c r="A17" s="1" t="inlineStr">
        <is>
          <t>Friday</t>
        </is>
      </c>
      <c r="B17" s="35" t="inlineStr">
        <is>
          <t>07/08/2026</t>
        </is>
      </c>
      <c r="C17" s="36" t="inlineStr">
        <is>
          <t>WORK</t>
        </is>
      </c>
      <c r="D17" s="37" t="n">
        <v>0</v>
      </c>
      <c r="E17" s="37" t="n">
        <v>0</v>
      </c>
      <c r="F17" s="37" t="n">
        <v>0</v>
      </c>
      <c r="G17" s="38" t="inlineStr"/>
      <c r="H17" s="95" t="n"/>
    </row>
    <row r="18">
      <c r="A18" s="1" t="inlineStr">
        <is>
          <t>Saturday</t>
        </is>
      </c>
      <c r="B18" s="35" t="inlineStr">
        <is>
          <t>08/08/2026</t>
        </is>
      </c>
      <c r="C18" s="36" t="inlineStr">
        <is>
          <t>WEEKLY OFF</t>
        </is>
      </c>
      <c r="D18" s="37" t="n">
        <v>0</v>
      </c>
      <c r="E18" s="37" t="n">
        <v>0</v>
      </c>
      <c r="F18" s="37" t="n">
        <v>0</v>
      </c>
      <c r="G18" s="38" t="inlineStr"/>
      <c r="H18" s="95" t="n"/>
    </row>
    <row r="19">
      <c r="A19" s="1" t="inlineStr">
        <is>
          <t>Sunday</t>
        </is>
      </c>
      <c r="B19" s="35" t="inlineStr">
        <is>
          <t>09/08/2026</t>
        </is>
      </c>
      <c r="C19" s="36" t="inlineStr">
        <is>
          <t>WEEKLY OFF</t>
        </is>
      </c>
      <c r="D19" s="37" t="n">
        <v>0</v>
      </c>
      <c r="E19" s="37" t="n">
        <v>0</v>
      </c>
      <c r="F19" s="37" t="n">
        <v>0</v>
      </c>
      <c r="G19" s="38" t="inlineStr"/>
      <c r="H19" s="95" t="n"/>
    </row>
    <row r="20">
      <c r="A20" s="1" t="inlineStr">
        <is>
          <t>Monday</t>
        </is>
      </c>
      <c r="B20" s="35" t="inlineStr">
        <is>
          <t>10/08/2026</t>
        </is>
      </c>
      <c r="C20" s="36" t="inlineStr">
        <is>
          <t>WORK</t>
        </is>
      </c>
      <c r="D20" s="37" t="n">
        <v>0</v>
      </c>
      <c r="E20" s="37" t="n">
        <v>0</v>
      </c>
      <c r="F20" s="37" t="n">
        <v>0</v>
      </c>
      <c r="G20" s="38" t="inlineStr"/>
      <c r="H20" s="95" t="n"/>
    </row>
    <row r="21">
      <c r="A21" s="1" t="inlineStr">
        <is>
          <t>Tuesday</t>
        </is>
      </c>
      <c r="B21" s="35" t="inlineStr">
        <is>
          <t>11/08/2026</t>
        </is>
      </c>
      <c r="C21" s="36" t="inlineStr">
        <is>
          <t>WORK</t>
        </is>
      </c>
      <c r="D21" s="37" t="n">
        <v>0</v>
      </c>
      <c r="E21" s="37" t="n">
        <v>0</v>
      </c>
      <c r="F21" s="37" t="n">
        <v>0</v>
      </c>
      <c r="G21" s="38" t="inlineStr"/>
      <c r="H21" s="95" t="n"/>
    </row>
    <row r="22">
      <c r="A22" s="1" t="inlineStr">
        <is>
          <t>Wednesday</t>
        </is>
      </c>
      <c r="B22" s="35" t="inlineStr">
        <is>
          <t>12/08/2026</t>
        </is>
      </c>
      <c r="C22" s="36" t="inlineStr">
        <is>
          <t>WORK</t>
        </is>
      </c>
      <c r="D22" s="37" t="n">
        <v>0</v>
      </c>
      <c r="E22" s="37" t="n">
        <v>0</v>
      </c>
      <c r="F22" s="37" t="n">
        <v>0</v>
      </c>
      <c r="G22" s="38" t="inlineStr"/>
      <c r="H22" s="95" t="n"/>
    </row>
    <row r="23">
      <c r="A23" s="1" t="inlineStr">
        <is>
          <t>Thursday</t>
        </is>
      </c>
      <c r="B23" s="35" t="inlineStr">
        <is>
          <t>13/08/2026</t>
        </is>
      </c>
      <c r="C23" s="36" t="inlineStr">
        <is>
          <t>WORK</t>
        </is>
      </c>
      <c r="D23" s="37" t="n">
        <v>0</v>
      </c>
      <c r="E23" s="37" t="n">
        <v>0</v>
      </c>
      <c r="F23" s="37" t="n">
        <v>0</v>
      </c>
      <c r="G23" s="38" t="inlineStr"/>
      <c r="H23" s="95" t="n"/>
    </row>
    <row r="24">
      <c r="A24" s="1" t="inlineStr">
        <is>
          <t>Friday</t>
        </is>
      </c>
      <c r="B24" s="35" t="inlineStr">
        <is>
          <t>14/08/2026</t>
        </is>
      </c>
      <c r="C24" s="36" t="inlineStr">
        <is>
          <t>WORK</t>
        </is>
      </c>
      <c r="D24" s="37" t="n">
        <v>0</v>
      </c>
      <c r="E24" s="37" t="n">
        <v>0</v>
      </c>
      <c r="F24" s="37" t="n">
        <v>0</v>
      </c>
      <c r="G24" s="38" t="inlineStr"/>
      <c r="H24" s="95" t="n"/>
    </row>
    <row r="25">
      <c r="A25" s="1" t="inlineStr">
        <is>
          <t>Saturday</t>
        </is>
      </c>
      <c r="B25" s="35" t="inlineStr">
        <is>
          <t>15/08/2026</t>
        </is>
      </c>
      <c r="C25" s="36" t="inlineStr">
        <is>
          <t>WEEKLY OFF</t>
        </is>
      </c>
      <c r="D25" s="37" t="n">
        <v>0</v>
      </c>
      <c r="E25" s="37" t="n">
        <v>0</v>
      </c>
      <c r="F25" s="37" t="n">
        <v>0</v>
      </c>
      <c r="G25" s="38" t="inlineStr"/>
      <c r="H25" s="95" t="n"/>
    </row>
    <row r="26">
      <c r="A26" s="1" t="inlineStr">
        <is>
          <t>Sunday</t>
        </is>
      </c>
      <c r="B26" s="35" t="inlineStr">
        <is>
          <t>16/08/2026</t>
        </is>
      </c>
      <c r="C26" s="36" t="inlineStr">
        <is>
          <t>WEEKLY OFF</t>
        </is>
      </c>
      <c r="D26" s="37" t="n">
        <v>0</v>
      </c>
      <c r="E26" s="37" t="n">
        <v>0</v>
      </c>
      <c r="F26" s="37" t="n">
        <v>0</v>
      </c>
      <c r="G26" s="38" t="inlineStr"/>
      <c r="H26" s="95" t="n"/>
    </row>
    <row r="27">
      <c r="A27" s="1" t="inlineStr">
        <is>
          <t>Monday</t>
        </is>
      </c>
      <c r="B27" s="35" t="inlineStr">
        <is>
          <t>17/08/2026</t>
        </is>
      </c>
      <c r="C27" s="36" t="inlineStr">
        <is>
          <t>WORK</t>
        </is>
      </c>
      <c r="D27" s="37" t="n">
        <v>0</v>
      </c>
      <c r="E27" s="37" t="n">
        <v>0</v>
      </c>
      <c r="F27" s="37" t="n">
        <v>0</v>
      </c>
      <c r="G27" s="38" t="inlineStr"/>
      <c r="H27" s="95" t="n"/>
    </row>
    <row r="28">
      <c r="A28" s="1" t="inlineStr">
        <is>
          <t>Tuesday</t>
        </is>
      </c>
      <c r="B28" s="35" t="inlineStr">
        <is>
          <t>18/08/2026</t>
        </is>
      </c>
      <c r="C28" s="36" t="inlineStr">
        <is>
          <t>WORK</t>
        </is>
      </c>
      <c r="D28" s="37" t="n">
        <v>0</v>
      </c>
      <c r="E28" s="37" t="n">
        <v>0</v>
      </c>
      <c r="F28" s="37" t="n">
        <v>0</v>
      </c>
      <c r="G28" s="38" t="inlineStr"/>
      <c r="H28" s="95" t="n"/>
    </row>
    <row r="29">
      <c r="A29" s="1" t="inlineStr">
        <is>
          <t>Wednesday</t>
        </is>
      </c>
      <c r="B29" s="35" t="inlineStr">
        <is>
          <t>19/08/2026</t>
        </is>
      </c>
      <c r="C29" s="36" t="inlineStr">
        <is>
          <t>WORK</t>
        </is>
      </c>
      <c r="D29" s="37" t="n">
        <v>0</v>
      </c>
      <c r="E29" s="37" t="n">
        <v>0</v>
      </c>
      <c r="F29" s="37" t="n">
        <v>0</v>
      </c>
      <c r="G29" s="38" t="inlineStr"/>
      <c r="H29" s="95" t="n"/>
    </row>
    <row r="30">
      <c r="A30" s="1" t="inlineStr">
        <is>
          <t>Thursday</t>
        </is>
      </c>
      <c r="B30" s="35" t="inlineStr">
        <is>
          <t>20/08/2026</t>
        </is>
      </c>
      <c r="C30" s="36" t="inlineStr">
        <is>
          <t>WORK</t>
        </is>
      </c>
      <c r="D30" s="37" t="n">
        <v>0</v>
      </c>
      <c r="E30" s="37" t="n">
        <v>0</v>
      </c>
      <c r="F30" s="37" t="n">
        <v>0</v>
      </c>
      <c r="G30" s="38" t="inlineStr"/>
      <c r="H30" s="95" t="n"/>
    </row>
    <row r="31">
      <c r="A31" s="1" t="inlineStr">
        <is>
          <t>Friday</t>
        </is>
      </c>
      <c r="B31" s="35" t="inlineStr">
        <is>
          <t>21/08/2026</t>
        </is>
      </c>
      <c r="C31" s="36" t="inlineStr">
        <is>
          <t>WORK</t>
        </is>
      </c>
      <c r="D31" s="37" t="n">
        <v>0</v>
      </c>
      <c r="E31" s="37" t="n">
        <v>0</v>
      </c>
      <c r="F31" s="37" t="n">
        <v>0</v>
      </c>
      <c r="G31" s="38" t="inlineStr"/>
      <c r="H31" s="95" t="n"/>
    </row>
    <row r="32">
      <c r="A32" s="1" t="inlineStr">
        <is>
          <t>Saturday</t>
        </is>
      </c>
      <c r="B32" s="35" t="inlineStr">
        <is>
          <t>22/08/2026</t>
        </is>
      </c>
      <c r="C32" s="36" t="inlineStr">
        <is>
          <t>WEEKLY OFF</t>
        </is>
      </c>
      <c r="D32" s="37" t="n">
        <v>0</v>
      </c>
      <c r="E32" s="37" t="n">
        <v>0</v>
      </c>
      <c r="F32" s="37" t="n">
        <v>0</v>
      </c>
      <c r="G32" s="38" t="inlineStr"/>
      <c r="H32" s="95" t="n"/>
    </row>
    <row r="33">
      <c r="A33" s="1" t="inlineStr">
        <is>
          <t>Sunday</t>
        </is>
      </c>
      <c r="B33" s="35" t="inlineStr">
        <is>
          <t>23/08/2026</t>
        </is>
      </c>
      <c r="C33" s="36" t="inlineStr">
        <is>
          <t>WEEKLY OFF</t>
        </is>
      </c>
      <c r="D33" s="37" t="n">
        <v>0</v>
      </c>
      <c r="E33" s="37" t="n">
        <v>0</v>
      </c>
      <c r="F33" s="37" t="n">
        <v>0</v>
      </c>
      <c r="G33" s="38" t="inlineStr"/>
      <c r="H33" s="95" t="n"/>
    </row>
    <row r="34">
      <c r="A34" s="1" t="inlineStr">
        <is>
          <t>Monday</t>
        </is>
      </c>
      <c r="B34" s="35" t="inlineStr">
        <is>
          <t>24/08/2026</t>
        </is>
      </c>
      <c r="C34" s="36" t="inlineStr">
        <is>
          <t>WORK</t>
        </is>
      </c>
      <c r="D34" s="37" t="n">
        <v>0</v>
      </c>
      <c r="E34" s="37" t="n">
        <v>0</v>
      </c>
      <c r="F34" s="37" t="n">
        <v>0</v>
      </c>
      <c r="G34" s="38" t="inlineStr"/>
      <c r="H34" s="95" t="n"/>
    </row>
    <row r="35">
      <c r="A35" s="1" t="inlineStr">
        <is>
          <t>Tuesday</t>
        </is>
      </c>
      <c r="B35" s="35" t="inlineStr">
        <is>
          <t>25/08/2026</t>
        </is>
      </c>
      <c r="C35" s="36" t="inlineStr">
        <is>
          <t>WORK</t>
        </is>
      </c>
      <c r="D35" s="37" t="n">
        <v>0</v>
      </c>
      <c r="E35" s="37" t="n">
        <v>0</v>
      </c>
      <c r="F35" s="37" t="n">
        <v>0</v>
      </c>
      <c r="G35" s="38" t="inlineStr"/>
      <c r="H35" s="95" t="n"/>
    </row>
    <row r="36">
      <c r="A36" s="1" t="inlineStr">
        <is>
          <t>Wednesday</t>
        </is>
      </c>
      <c r="B36" s="35" t="inlineStr">
        <is>
          <t>26/08/2026</t>
        </is>
      </c>
      <c r="C36" s="36" t="inlineStr">
        <is>
          <t>WORK</t>
        </is>
      </c>
      <c r="D36" s="37" t="n">
        <v>0</v>
      </c>
      <c r="E36" s="37" t="n">
        <v>0</v>
      </c>
      <c r="F36" s="37" t="n">
        <v>0</v>
      </c>
      <c r="G36" s="38" t="inlineStr"/>
      <c r="H36" s="95" t="n"/>
    </row>
    <row r="37">
      <c r="A37" s="1" t="inlineStr">
        <is>
          <t>Thursday</t>
        </is>
      </c>
      <c r="B37" s="35" t="inlineStr">
        <is>
          <t>27/08/2026</t>
        </is>
      </c>
      <c r="C37" s="36" t="inlineStr">
        <is>
          <t>WORK</t>
        </is>
      </c>
      <c r="D37" s="37" t="n">
        <v>0</v>
      </c>
      <c r="E37" s="37" t="n">
        <v>0</v>
      </c>
      <c r="F37" s="37" t="n">
        <v>0</v>
      </c>
      <c r="G37" s="38" t="inlineStr"/>
      <c r="H37" s="95" t="n"/>
    </row>
    <row r="38">
      <c r="A38" s="1" t="inlineStr">
        <is>
          <t>Friday</t>
        </is>
      </c>
      <c r="B38" s="35" t="inlineStr">
        <is>
          <t>28/08/2026</t>
        </is>
      </c>
      <c r="C38" s="36" t="inlineStr">
        <is>
          <t>WORK</t>
        </is>
      </c>
      <c r="D38" s="37" t="n">
        <v>0</v>
      </c>
      <c r="E38" s="37" t="n">
        <v>0</v>
      </c>
      <c r="F38" s="37" t="n">
        <v>0</v>
      </c>
      <c r="G38" s="38" t="inlineStr"/>
      <c r="H38" s="95" t="n"/>
    </row>
    <row r="39">
      <c r="A39" s="1" t="inlineStr">
        <is>
          <t>Saturday</t>
        </is>
      </c>
      <c r="B39" s="35" t="inlineStr">
        <is>
          <t>29/08/2026</t>
        </is>
      </c>
      <c r="C39" s="36" t="inlineStr">
        <is>
          <t>WEEKLY OFF</t>
        </is>
      </c>
      <c r="D39" s="37" t="n">
        <v>0</v>
      </c>
      <c r="E39" s="37" t="n">
        <v>0</v>
      </c>
      <c r="F39" s="37" t="n">
        <v>0</v>
      </c>
      <c r="G39" s="38" t="inlineStr"/>
      <c r="H39" s="95" t="n"/>
    </row>
    <row r="40">
      <c r="A40" s="1" t="inlineStr">
        <is>
          <t>Sunday</t>
        </is>
      </c>
      <c r="B40" s="35" t="inlineStr">
        <is>
          <t>30/08/2026</t>
        </is>
      </c>
      <c r="C40" s="36" t="inlineStr">
        <is>
          <t>WEEKLY OFF</t>
        </is>
      </c>
      <c r="D40" s="37" t="n">
        <v>0</v>
      </c>
      <c r="E40" s="37" t="n">
        <v>0</v>
      </c>
      <c r="F40" s="37" t="n">
        <v>0</v>
      </c>
      <c r="G40" s="38" t="inlineStr"/>
      <c r="H40" s="95" t="n"/>
    </row>
    <row r="41">
      <c r="A41" s="1" t="inlineStr">
        <is>
          <t>Monday</t>
        </is>
      </c>
      <c r="B41" s="35" t="inlineStr">
        <is>
          <t>31/08/2026</t>
        </is>
      </c>
      <c r="C41" s="36" t="inlineStr">
        <is>
          <t>WORK</t>
        </is>
      </c>
      <c r="D41" s="37" t="n">
        <v>0</v>
      </c>
      <c r="E41" s="37" t="n">
        <v>0</v>
      </c>
      <c r="F41" s="37" t="n">
        <v>0</v>
      </c>
      <c r="G41" s="38" t="inlineStr"/>
      <c r="H41" s="95" t="n"/>
    </row>
    <row r="42" ht="19.5" customHeight="1" s="5">
      <c r="A42" s="43" t="inlineStr">
        <is>
          <t>TOTAL HOURS</t>
        </is>
      </c>
      <c r="B42" s="96" t="n"/>
      <c r="C42" s="97" t="n"/>
      <c r="D42" s="44">
        <f>SUM(D11:D41)</f>
        <v/>
      </c>
      <c r="E42" s="44">
        <f>SUM(E11:E41)</f>
        <v/>
      </c>
      <c r="F42" s="44">
        <f>SUM(F11:F41)</f>
        <v/>
      </c>
      <c r="G42" s="45" t="n"/>
      <c r="H42" s="97" t="n"/>
    </row>
    <row r="43" ht="30" customHeight="1" s="5">
      <c r="A43" s="98" t="inlineStr">
        <is>
          <t>DAY TYPE codes: WORK = normal working day  |  ROTATION = rest/rotation day (no hours)  |  SICK = sick leave  |  HOLIDAY = holiday / annual leave  |  TRAVEL = travel day (e.g. return from rotation)  |  WEEKLY OFF = weekly rest day (no hours, not billable)</t>
        </is>
      </c>
      <c r="B43" s="99" t="n"/>
      <c r="C43" s="99" t="n"/>
      <c r="D43" s="99" t="n"/>
      <c r="E43" s="99" t="n"/>
      <c r="F43" s="99" t="n"/>
      <c r="G43" s="99" t="n"/>
      <c r="H43" s="100" t="n"/>
    </row>
    <row r="44" ht="19.5" customHeight="1" s="5">
      <c r="A44" s="101" t="inlineStr">
        <is>
          <t>SUMMARY</t>
        </is>
      </c>
      <c r="B44" s="99" t="n"/>
      <c r="C44" s="99" t="n"/>
      <c r="D44" s="99" t="n"/>
      <c r="E44" s="99" t="n"/>
      <c r="F44" s="99" t="n"/>
      <c r="G44" s="99" t="n"/>
      <c r="H44" s="100" t="n"/>
    </row>
    <row r="45" ht="18" customHeight="1" s="5">
      <c r="A45" s="52" t="inlineStr">
        <is>
          <t>TOTAL WORK HOURS</t>
        </is>
      </c>
      <c r="B45" s="99" t="n"/>
      <c r="C45" s="99" t="n"/>
      <c r="D45" s="99" t="n"/>
      <c r="E45" s="102" t="n"/>
      <c r="F45" s="61">
        <f>D42+E42</f>
        <v/>
      </c>
      <c r="G45" s="99" t="n"/>
      <c r="H45" s="102" t="n"/>
    </row>
    <row r="46" ht="18" customHeight="1" s="5">
      <c r="A46" s="52" t="inlineStr">
        <is>
          <t>TOTAL TRAVEL HOURS</t>
        </is>
      </c>
      <c r="B46" s="99" t="n"/>
      <c r="C46" s="99" t="n"/>
      <c r="D46" s="99" t="n"/>
      <c r="E46" s="102" t="n"/>
      <c r="F46" s="61">
        <f>F42</f>
        <v/>
      </c>
      <c r="G46" s="99" t="n"/>
      <c r="H46" s="102" t="n"/>
    </row>
    <row r="47" ht="18" customHeight="1" s="5">
      <c r="A47" s="52" t="inlineStr">
        <is>
          <t>ROTATION DAYS</t>
        </is>
      </c>
      <c r="B47" s="99" t="n"/>
      <c r="C47" s="99" t="n"/>
      <c r="D47" s="99" t="n"/>
      <c r="E47" s="102" t="n"/>
      <c r="F47" s="64">
        <f>COUNTIFS(C11:C41,"ROTATION",B11:B41,"&lt;&gt;")</f>
        <v/>
      </c>
      <c r="G47" s="99" t="n"/>
      <c r="H47" s="102" t="n"/>
    </row>
    <row r="48" ht="18" customHeight="1" s="5">
      <c r="A48" s="52" t="inlineStr">
        <is>
          <t>SICK DAYS</t>
        </is>
      </c>
      <c r="B48" s="99" t="n"/>
      <c r="C48" s="99" t="n"/>
      <c r="D48" s="99" t="n"/>
      <c r="E48" s="102" t="n"/>
      <c r="F48" s="64">
        <f>COUNTIFS(C11:C41,"SICK",B11:B41,"&lt;&gt;")</f>
        <v/>
      </c>
      <c r="G48" s="99" t="n"/>
      <c r="H48" s="102" t="n"/>
    </row>
    <row r="49" ht="18" customHeight="1" s="5">
      <c r="A49" s="52" t="inlineStr">
        <is>
          <t>HOLIDAY DAYS</t>
        </is>
      </c>
      <c r="B49" s="99" t="n"/>
      <c r="C49" s="99" t="n"/>
      <c r="D49" s="99" t="n"/>
      <c r="E49" s="102" t="n"/>
      <c r="F49" s="64">
        <f>COUNTIFS(C11:C41,"HOLIDAY",B11:B41,"&lt;&gt;")</f>
        <v/>
      </c>
      <c r="G49" s="99" t="n"/>
      <c r="H49" s="102" t="n"/>
    </row>
    <row r="50" ht="18" customHeight="1" s="5">
      <c r="A50" s="52" t="inlineStr">
        <is>
          <t>TRAVEL DAYS</t>
        </is>
      </c>
      <c r="B50" s="99" t="n"/>
      <c r="C50" s="99" t="n"/>
      <c r="D50" s="99" t="n"/>
      <c r="E50" s="102" t="n"/>
      <c r="F50" s="64">
        <f>COUNTIFS(C11:C41,"TRAVEL",B11:B41,"&lt;&gt;")</f>
        <v/>
      </c>
      <c r="G50" s="99" t="n"/>
      <c r="H50" s="102" t="n"/>
    </row>
    <row r="51" ht="18" customHeight="1" s="5">
      <c r="A51" s="52" t="inlineStr">
        <is>
          <t>WEEKLY OFF DAYS</t>
        </is>
      </c>
      <c r="B51" s="99" t="n"/>
      <c r="C51" s="99" t="n"/>
      <c r="D51" s="99" t="n"/>
      <c r="E51" s="102" t="n"/>
      <c r="F51" s="64">
        <f>COUNTIFS(C11:C41,"WEEKLY OFF",B11:B41,"&lt;&gt;")</f>
        <v/>
      </c>
      <c r="G51" s="99" t="n"/>
      <c r="H51" s="102" t="n"/>
    </row>
    <row r="52">
      <c r="A52" s="103" t="inlineStr">
        <is>
          <t>WORK DAYS</t>
        </is>
      </c>
      <c r="B52" s="104" t="n"/>
      <c r="C52" s="104" t="n"/>
      <c r="D52" s="104" t="n"/>
      <c r="E52" s="105" t="n"/>
      <c r="F52" s="106">
        <f>COUNTIFS(C11:C41,"WORK",B11:B41,"&lt;&gt;")</f>
        <v/>
      </c>
      <c r="G52" s="99" t="n"/>
      <c r="H52" s="100" t="n"/>
    </row>
    <row r="53">
      <c r="A53" s="107" t="inlineStr">
        <is>
          <t>AVERAGE HOURS PER WORK DAY</t>
        </is>
      </c>
      <c r="B53" s="104" t="n"/>
      <c r="C53" s="104" t="n"/>
      <c r="D53" s="104" t="n"/>
      <c r="E53" s="105" t="n"/>
      <c r="F53" s="108">
        <f>IF(F52=0,0,F45/F52)</f>
        <v/>
      </c>
      <c r="G53" s="99" t="n"/>
      <c r="H53" s="100" t="n"/>
    </row>
    <row r="54">
      <c r="A54" s="107" t="inlineStr">
        <is>
          <t>TOTAL HOURS INCLUDING TRAVEL</t>
        </is>
      </c>
      <c r="B54" s="104" t="n"/>
      <c r="C54" s="104" t="n"/>
      <c r="D54" s="104" t="n"/>
      <c r="E54" s="105" t="n"/>
      <c r="F54" s="109">
        <f>F45+F46</f>
        <v/>
      </c>
      <c r="G54" s="104" t="n"/>
      <c r="H54" s="105" t="n"/>
    </row>
    <row r="55"/>
    <row r="56">
      <c r="A56" s="6" t="inlineStr">
        <is>
          <t>EMPLOYEE:</t>
        </is>
      </c>
      <c r="B56" s="39" t="inlineStr">
        <is>
          <t>SIGNATURE</t>
        </is>
      </c>
      <c r="C56" s="110" t="n"/>
      <c r="D56" s="110" t="n"/>
      <c r="F56" s="6" t="inlineStr">
        <is>
          <t>APPROVED BY:</t>
        </is>
      </c>
      <c r="G56" s="39" t="inlineStr">
        <is>
          <t>SIGNATURE</t>
        </is>
      </c>
      <c r="H56" s="110" t="n"/>
    </row>
    <row r="57">
      <c r="A57" s="6" t="inlineStr">
        <is>
          <t>NAME:</t>
        </is>
      </c>
      <c r="B57" s="40" t="inlineStr">
        <is>
          <t>Prime Admin</t>
        </is>
      </c>
      <c r="C57" s="86" t="n"/>
      <c r="D57" s="86" t="n"/>
      <c r="G57" s="40" t="inlineStr">
        <is>
          <t>NAME</t>
        </is>
      </c>
      <c r="H57" s="86" t="n"/>
    </row>
    <row r="58">
      <c r="A58" s="6" t="inlineStr">
        <is>
          <t>DESIGNATION:</t>
        </is>
      </c>
      <c r="B58" s="40" t="inlineStr">
        <is>
          <t>superuser</t>
        </is>
      </c>
      <c r="C58" s="86" t="n"/>
      <c r="D58" s="86" t="n"/>
      <c r="G58" s="40" t="inlineStr">
        <is>
          <t>SITE MANAGER / CUSTOMER REP</t>
        </is>
      </c>
      <c r="H58" s="86" t="n"/>
    </row>
  </sheetData>
  <sheetProtection selectLockedCells="0" selectUnlockedCells="0" sheet="1" objects="0" insertRows="1" insertHyperlinks="1" autoFilter="1" scenarios="1" formatColumns="1" deleteColumns="1" insertColumns="1" pivotTables="1" deleteRows="1" formatCells="0" formatRows="1" sort="1"/>
  <mergeCells count="71">
    <mergeCell ref="G21:H21"/>
    <mergeCell ref="G12:H12"/>
    <mergeCell ref="A48:E48"/>
    <mergeCell ref="F45:H45"/>
    <mergeCell ref="B57:D57"/>
    <mergeCell ref="G42:H42"/>
    <mergeCell ref="G11:H11"/>
    <mergeCell ref="G27:H27"/>
    <mergeCell ref="A51:E51"/>
    <mergeCell ref="A49:E49"/>
    <mergeCell ref="F50:H50"/>
    <mergeCell ref="A45:E45"/>
    <mergeCell ref="G36:H36"/>
    <mergeCell ref="G23:H23"/>
    <mergeCell ref="G8:H8"/>
    <mergeCell ref="G17:H17"/>
    <mergeCell ref="G39:H39"/>
    <mergeCell ref="F47:H47"/>
    <mergeCell ref="A42:C42"/>
    <mergeCell ref="C9:C10"/>
    <mergeCell ref="F46:H46"/>
    <mergeCell ref="A54:E54"/>
    <mergeCell ref="G38:H38"/>
    <mergeCell ref="G7:H7"/>
    <mergeCell ref="G57:H57"/>
    <mergeCell ref="G37:H37"/>
    <mergeCell ref="G19:H19"/>
    <mergeCell ref="A1:H5"/>
    <mergeCell ref="A46:E46"/>
    <mergeCell ref="G28:H28"/>
    <mergeCell ref="F52:H52"/>
    <mergeCell ref="G13:H13"/>
    <mergeCell ref="F48:H48"/>
    <mergeCell ref="G18:H18"/>
    <mergeCell ref="A6:E8"/>
    <mergeCell ref="G6:H6"/>
    <mergeCell ref="G9:H10"/>
    <mergeCell ref="B9:B10"/>
    <mergeCell ref="A50:E50"/>
    <mergeCell ref="G34:H34"/>
    <mergeCell ref="F9:F10"/>
    <mergeCell ref="G30:H30"/>
    <mergeCell ref="G24:H24"/>
    <mergeCell ref="F49:H49"/>
    <mergeCell ref="G15:H15"/>
    <mergeCell ref="G33:H33"/>
    <mergeCell ref="G58:H58"/>
    <mergeCell ref="A47:E47"/>
    <mergeCell ref="G14:H14"/>
    <mergeCell ref="F53:H53"/>
    <mergeCell ref="G26:H26"/>
    <mergeCell ref="G35:H35"/>
    <mergeCell ref="A53:E53"/>
    <mergeCell ref="F54:H54"/>
    <mergeCell ref="G29:H29"/>
    <mergeCell ref="G20:H20"/>
    <mergeCell ref="G16:H16"/>
    <mergeCell ref="A52:E52"/>
    <mergeCell ref="A43:H43"/>
    <mergeCell ref="G32:H32"/>
    <mergeCell ref="G25:H25"/>
    <mergeCell ref="A9:A10"/>
    <mergeCell ref="G41:H41"/>
    <mergeCell ref="B58:D58"/>
    <mergeCell ref="B56:D56"/>
    <mergeCell ref="G31:H31"/>
    <mergeCell ref="A44:H44"/>
    <mergeCell ref="G22:H22"/>
    <mergeCell ref="G40:H40"/>
    <mergeCell ref="G56:H56"/>
    <mergeCell ref="F51:H51"/>
  </mergeCells>
  <conditionalFormatting sqref="C11:C41">
    <cfRule type="expression" priority="1" dxfId="3">
      <formula>AND(OR($C11="ROTATION",$C11="WEEKLY OFF"),SUM($D11:$F11)&gt;0)</formula>
    </cfRule>
  </conditionalFormatting>
  <conditionalFormatting sqref="F11:F41">
    <cfRule type="expression" priority="2" dxfId="1">
      <formula>AND($C11="TRAVEL",$F11=0)</formula>
    </cfRule>
  </conditionalFormatting>
  <conditionalFormatting sqref="G11:H41">
    <cfRule type="expression" priority="3" dxfId="1">
      <formula>AND(SUM($D11:$F11)&gt;0,$G11="")</formula>
    </cfRule>
  </conditionalFormatting>
  <conditionalFormatting sqref="A11:H41">
    <cfRule type="expression" priority="4" dxfId="0">
      <formula>$B11=""</formula>
    </cfRule>
  </conditionalFormatting>
  <dataValidations count="5">
    <dataValidation sqref="C11:C41" showDropDown="0" showInputMessage="1" showErrorMessage="1" allowBlank="1" errorTitle="Invalid Day Type" error="Select WORK, ROTATION, SICK, HOLIDAY, TRAVEL, or WEEKLY OFF." promptTitle="Day Type" prompt="Select a value from the list." type="list">
      <formula1>"WORK,ROTATION,SICK,HOLIDAY,TRAVEL,WEEKLY OFF"</formula1>
    </dataValidation>
    <dataValidation sqref="D11:D41" showDropDown="0" showInputMessage="1" showErrorMessage="1" allowBlank="1" errorTitle="Invalid Hours" error="Enter hours from 0 to 24 in 0.5-hour increments (for example: 7, 7.5, or 8)." promptTitle="Hours" prompt="Use 0.5-hour increments between 0 and 24." type="custom">
      <formula1>OR(D11="",AND(ISNUMBER(D11),D11&gt;=0,D11&lt;=24,MOD(D11,0.5)=0))</formula1>
    </dataValidation>
    <dataValidation sqref="E11:E41" showDropDown="0" showInputMessage="1" showErrorMessage="1" allowBlank="1" errorTitle="Invalid Hours" error="Enter hours from 0 to 24 in 0.5-hour increments (for example: 7, 7.5, or 8)." promptTitle="Hours" prompt="Use 0.5-hour increments between 0 and 24." type="custom">
      <formula1>OR(E11="",AND(ISNUMBER(E11),E11&gt;=0,E11&lt;=24,MOD(E11,0.5)=0))</formula1>
    </dataValidation>
    <dataValidation sqref="F11:F41" showDropDown="0" showInputMessage="1" showErrorMessage="1" allowBlank="1" errorTitle="Invalid Hours" error="Enter hours from 0 to 24 in 0.5-hour increments (for example: 7, 7.5, or 8)." promptTitle="Hours" prompt="Use 0.5-hour increments between 0 and 24." type="custom">
      <formula1>OR(F11="",AND(ISNUMBER(F11),F11&gt;=0,F11&lt;=24,MOD(F11,0.5)=0))</formula1>
    </dataValidation>
    <dataValidation sqref="G6" showDropDown="0" showInputMessage="1" showErrorMessage="1" allowBlank="1" errorTitle="Invalid Month" error="Enter a valid month and year, for example Aug-2026." promptTitle="Timesheet Month" prompt="Enter the month and year, for example Aug-2026." type="date">
      <formula1>36526</formula1>
      <formula2>73415</formula2>
    </dataValidation>
  </dataValidations>
  <printOptions horizontalCentered="1"/>
  <pageMargins left="0.2" right="0.2" top="0.25" bottom="0.25" header="0.125" footer="0.125"/>
  <pageSetup orientation="portrait" paperSize="9" scale="75" horizontalDpi="300" verticalDpi="300"/>
  <headerFooter>
    <oddHeader>&amp;C&amp;"Arial"&amp;1 &amp;KF98F00 RESTRICTED#_x000d_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G16"/>
  <sheetViews>
    <sheetView showGridLines="0" zoomScaleNormal="100" workbookViewId="0">
      <selection activeCell="K8" sqref="K8"/>
    </sheetView>
  </sheetViews>
  <sheetFormatPr baseColWidth="8" defaultColWidth="15.7109375" defaultRowHeight="27.75" customHeight="1"/>
  <cols>
    <col width="2.5703125" bestFit="1" customWidth="1" style="5" min="2" max="2"/>
    <col width="14.85546875" customWidth="1" style="5" min="3" max="7"/>
  </cols>
  <sheetData>
    <row r="1" ht="27.75" customHeight="1" s="5">
      <c r="B1" s="8" t="inlineStr">
        <is>
          <t>TIMESHEET – BASIC USER GUIDE</t>
        </is>
      </c>
    </row>
    <row r="2" ht="27.75" customHeight="1" s="5">
      <c r="B2" s="9" t="inlineStr">
        <is>
          <t>Follow these steps to complete and submit your monthly timesheet.</t>
        </is>
      </c>
    </row>
    <row r="3" ht="27.75" customHeight="1" s="5">
      <c r="B3" s="10" t="inlineStr">
        <is>
          <t>HOW TO COMPLETE THE TIMESHEET</t>
        </is>
      </c>
    </row>
    <row r="4" ht="27.75" customHeight="1" s="5">
      <c r="B4" s="13" t="n">
        <v>1</v>
      </c>
      <c r="C4" s="15" t="inlineStr">
        <is>
          <t>Select the month — In the MONTH field, enter the month and year (for example, Aug-2026). Dates and weekdays update automatically.</t>
        </is>
      </c>
      <c r="D4" s="111" t="n"/>
      <c r="E4" s="111" t="n"/>
      <c r="F4" s="111" t="n"/>
      <c r="G4" s="112" t="n"/>
    </row>
    <row r="5" ht="27.75" customHeight="1" s="5">
      <c r="B5" s="13" t="n">
        <v>2</v>
      </c>
      <c r="C5" s="15" t="inlineStr">
        <is>
          <t>Enter employee details — Complete the NAME, EMPLOYEE ID and DESIGNATION fields.</t>
        </is>
      </c>
      <c r="D5" s="111" t="n"/>
      <c r="E5" s="111" t="n"/>
      <c r="F5" s="111" t="n"/>
      <c r="G5" s="112" t="n"/>
    </row>
    <row r="6" ht="27.75" customHeight="1" s="5">
      <c r="B6" s="13" t="n">
        <v>3</v>
      </c>
      <c r="C6" s="15" t="inlineStr">
        <is>
          <t>Select the day type — In DAY TYPE, choose WORK, ROTATION, SICK, HOLIDAY, TRAVEL or WEEKLY OFF.</t>
        </is>
      </c>
      <c r="D6" s="111" t="n"/>
      <c r="E6" s="111" t="n"/>
      <c r="F6" s="111" t="n"/>
      <c r="G6" s="112" t="n"/>
    </row>
    <row r="7" ht="27.75" customHeight="1" s="5">
      <c r="B7" s="13" t="n">
        <v>4</v>
      </c>
      <c r="C7" s="15" t="inlineStr">
        <is>
          <t>Enter hours — Complete REGULAR, OVERTIME and TRAVEL HOURS using values from 0 to 24 in 0.5-hour increments (for example, 7.0, 7.5 or 8.0).</t>
        </is>
      </c>
      <c r="D7" s="111" t="n"/>
      <c r="E7" s="111" t="n"/>
      <c r="F7" s="111" t="n"/>
      <c r="G7" s="112" t="n"/>
    </row>
    <row r="8" ht="27.75" customHeight="1" s="5">
      <c r="B8" s="13" t="n">
        <v>5</v>
      </c>
      <c r="C8" s="15" t="inlineStr">
        <is>
          <t>Describe the work — Add a brief description of the activities performed under WORK DESCRIPTION.</t>
        </is>
      </c>
      <c r="D8" s="111" t="n"/>
      <c r="E8" s="111" t="n"/>
      <c r="F8" s="111" t="n"/>
      <c r="G8" s="112" t="n"/>
    </row>
    <row r="9" ht="27.75" customHeight="1" s="5">
      <c r="B9" s="13" t="n">
        <v>6</v>
      </c>
      <c r="C9" s="15" t="inlineStr">
        <is>
          <t>Review the summary — Check the automatically calculated totals and day counts in the SUMMARY section.</t>
        </is>
      </c>
      <c r="D9" s="111" t="n"/>
      <c r="E9" s="111" t="n"/>
      <c r="F9" s="111" t="n"/>
      <c r="G9" s="112" t="n"/>
    </row>
    <row r="10" ht="27.75" customHeight="1" s="5">
      <c r="B10" s="13" t="n">
        <v>7</v>
      </c>
      <c r="C10" s="15" t="inlineStr">
        <is>
          <t>Sign and submit — Complete the EMPLOYEE and APPROVED BY sections, review the entries, save and submit the file.</t>
        </is>
      </c>
      <c r="D10" s="111" t="n"/>
      <c r="E10" s="111" t="n"/>
      <c r="F10" s="111" t="n"/>
      <c r="G10" s="112" t="n"/>
    </row>
    <row r="11" ht="27.75" customHeight="1" s="5">
      <c r="B11" s="7" t="n"/>
      <c r="C11" s="7" t="n"/>
      <c r="D11" s="7" t="n"/>
      <c r="E11" s="7" t="n"/>
      <c r="F11" s="7" t="n"/>
      <c r="G11" s="7" t="n"/>
    </row>
    <row r="12" ht="27.75" customHeight="1" s="5">
      <c r="B12" s="10" t="inlineStr">
        <is>
          <t>IMPORTANT</t>
        </is>
      </c>
    </row>
    <row r="13" ht="27.75" customHeight="1" s="5">
      <c r="B13" s="12" t="inlineStr">
        <is>
          <t>• Edit only the highlighted input fields.</t>
        </is>
      </c>
    </row>
    <row r="14" ht="27.75" customHeight="1" s="5">
      <c r="B14" s="12" t="inlineStr">
        <is>
          <t>• Do not overwrite formulas or calculated totals.</t>
        </is>
      </c>
    </row>
    <row r="15" ht="27.75" customHeight="1" s="5">
      <c r="B15" s="12" t="inlineStr">
        <is>
          <t>• Review all entries before submission.</t>
        </is>
      </c>
    </row>
    <row r="16" ht="27.75" customHeight="1" s="5">
      <c r="B16" s="12" t="inlineStr">
        <is>
          <t>• The Timesheet is configured to print on one A4 landscape page.</t>
        </is>
      </c>
    </row>
  </sheetData>
  <mergeCells count="15">
    <mergeCell ref="B3:G3"/>
    <mergeCell ref="B16:G16"/>
    <mergeCell ref="B2:G2"/>
    <mergeCell ref="C7:G7"/>
    <mergeCell ref="C4:G4"/>
    <mergeCell ref="B14:G14"/>
    <mergeCell ref="C10:G10"/>
    <mergeCell ref="C6:G6"/>
    <mergeCell ref="B1:G1"/>
    <mergeCell ref="C5:G5"/>
    <mergeCell ref="B12:G12"/>
    <mergeCell ref="B13:G13"/>
    <mergeCell ref="C8:G8"/>
    <mergeCell ref="C9:G9"/>
    <mergeCell ref="B15:G15"/>
  </mergeCells>
  <printOptions horizontalCentered="1"/>
  <pageMargins left="0.3333333333333333" right="0.3333333333333333" top="0.3333333333333333" bottom="0.3333333333333333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2026-08-20T06:26:01Z</dcterms:created>
  <dcterms:modified xsi:type="dcterms:W3CDTF">2026-08-21T07:12:28Z</dcterms:modified>
  <cp:lastModifiedBy>Nayara Nunes</cp:lastModifiedBy>
  <cp:revision>0</cp:revision>
  <cp:lastPrinted>2026-08-20T08:36:25Z</cp:lastPrinted>
</cp:coreProperties>
</file>