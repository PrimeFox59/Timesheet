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  <sheet name="Instructions" sheetId="2" r:id="rId2"/>
  </sheets>
  <definedNames>
    <definedName name="_xlnm.Print_Area" localSheetId="1">Instructions!$B$1:$G$16</definedName>
    <definedName name="_xlnm.Print_Area" localSheetId="0">Timesheet!$A$1:$H$58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dd"/>
    <numFmt numFmtId="165" formatCode="[$-409]d\-mmm\-yy;@"/>
    <numFmt numFmtId="166" formatCode="0.0"/>
    <numFmt numFmtId="167" formatCode="[$-409]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 rightToLeft="0"/>
  </sheetViews>
  <cols>
    <col min="1" max="1" customWidth="1" width="17.140625"/>
    <col min="2" max="2" customWidth="1" width="15.28515625"/>
    <col min="3" max="3" customWidth="1" width="17.140625"/>
    <col min="4" max="4" customWidth="1" width="12.42578125"/>
    <col min="5" max="5" customWidth="1" width="12.42578125"/>
    <col min="6" max="6" customWidth="1" width="16.140625"/>
    <col min="7" max="7" customWidth="1" width="21"/>
    <col min="8" max="8" customWidth="1" width="21"/>
  </cols>
  <sheetData>
    <row r="1" ht="15" customHeight="1">
      <c r="A1" t="str">
        <v>TIMESHEET</v>
      </c>
    </row>
    <row r="2" ht="15" customHeight="1"/>
    <row r="3" ht="15" customHeight="1"/>
    <row r="4" ht="15" customHeight="1"/>
    <row r="5" ht="18" customHeight="1"/>
    <row r="6" ht="15.75" customHeight="1">
      <c r="A6" t="str">
        <v>NAME:  John Doe</v>
      </c>
      <c r="F6" t="str">
        <v>MONTH:</v>
      </c>
      <c r="G6" t="str">
        <v>Aug-2026</v>
      </c>
    </row>
    <row r="7" ht="15.75" customHeight="1">
      <c r="F7" t="str">
        <v>EMPLOYEE ID:</v>
      </c>
      <c r="G7" t="str">
        <v>COM116</v>
      </c>
    </row>
    <row r="8" ht="15.75" customHeight="1">
      <c r="F8" t="str">
        <v>DESIGNATION:</v>
      </c>
      <c r="G8" t="str">
        <v>Commissioning Lead Engineer</v>
      </c>
    </row>
    <row r="9" ht="16.5" customHeight="1">
      <c r="A9" t="str">
        <v>WEEKDAY</v>
      </c>
      <c r="B9" t="str">
        <v>DATE</v>
      </c>
      <c r="C9" t="str">
        <v>DAY TYPE</v>
      </c>
      <c r="D9" t="str">
        <v>REGULAR</v>
      </c>
      <c r="E9" t="str">
        <v>OVERTIME</v>
      </c>
      <c r="F9" t="str">
        <v>TRAVEL HOURS</v>
      </c>
      <c r="G9" t="str">
        <v>WORK DESCRIPTION</v>
      </c>
    </row>
    <row r="10" ht="16.5" customHeight="1">
      <c r="D10" t="str">
        <v>(Hours)</v>
      </c>
      <c r="E10" t="str">
        <v>(Hours)</v>
      </c>
    </row>
    <row r="11">
      <c r="A11" t="str">
        <v>Saturday</v>
      </c>
      <c r="B11" t="str">
        <v>01/08/2026</v>
      </c>
      <c r="C11" t="str">
        <v>WORK</v>
      </c>
      <c r="D11">
        <v>8</v>
      </c>
      <c r="E11">
        <v>2</v>
      </c>
      <c r="F11">
        <v>0</v>
      </c>
      <c r="G11" t="str">
        <v>CMN, SAP - Pre-commissioning test</v>
      </c>
    </row>
    <row r="12">
      <c r="A12" s="1" t="str">
        <f>IF(B12="","",CHOOSE(WEEKDAY(B12,2),"Monday","Tuesday","Wednesday","Thursday","Friday","Saturday","Sunday"))</f>
        <v>Sunday</v>
      </c>
      <c r="B12" s="2">
        <f>IF(ROW()-10&lt;=DAY(EOMONTH($G$6,0)),DATE(YEAR($G$6),MONTH($G$6),ROW()-10),"")</f>
        <v>46236</v>
      </c>
      <c r="C12" t="str">
        <v>WORK</v>
      </c>
    </row>
    <row r="13">
      <c r="A13" s="1" t="str">
        <f>IF(B13="","",CHOOSE(WEEKDAY(B13,2),"Monday","Tuesday","Wednesday","Thursday","Friday","Saturday","Sunday"))</f>
        <v>Monday</v>
      </c>
      <c r="B13" s="2">
        <f>IF(ROW()-10&lt;=DAY(EOMONTH($G$6,0)),DATE(YEAR($G$6),MONTH($G$6),ROW()-10),"")</f>
        <v>46237</v>
      </c>
      <c r="C13" t="str">
        <v>WORK</v>
      </c>
    </row>
    <row r="14">
      <c r="A14" s="1" t="str">
        <f>IF(B14="","",CHOOSE(WEEKDAY(B14,2),"Monday","Tuesday","Wednesday","Thursday","Friday","Saturday","Sunday"))</f>
        <v>Tuesday</v>
      </c>
      <c r="B14" s="2">
        <f>IF(ROW()-10&lt;=DAY(EOMONTH($G$6,0)),DATE(YEAR($G$6),MONTH($G$6),ROW()-10),"")</f>
        <v>46238</v>
      </c>
      <c r="C14" t="str">
        <v>WORK</v>
      </c>
    </row>
    <row r="15">
      <c r="A15" s="1" t="str">
        <f>IF(B15="","",CHOOSE(WEEKDAY(B15,2),"Monday","Tuesday","Wednesday","Thursday","Friday","Saturday","Sunday"))</f>
        <v>Wednesday</v>
      </c>
      <c r="B15" s="2">
        <f>IF(ROW()-10&lt;=DAY(EOMONTH($G$6,0)),DATE(YEAR($G$6),MONTH($G$6),ROW()-10),"")</f>
        <v>46239</v>
      </c>
      <c r="C15" t="str">
        <v>WORK</v>
      </c>
    </row>
    <row r="16">
      <c r="A16" s="1" t="str">
        <f>IF(B16="","",CHOOSE(WEEKDAY(B16,2),"Monday","Tuesday","Wednesday","Thursday","Friday","Saturday","Sunday"))</f>
        <v>Thursday</v>
      </c>
      <c r="B16" s="2">
        <f>IF(ROW()-10&lt;=DAY(EOMONTH($G$6,0)),DATE(YEAR($G$6),MONTH($G$6),ROW()-10),"")</f>
        <v>46240</v>
      </c>
      <c r="C16" t="str">
        <v>WORK</v>
      </c>
    </row>
    <row r="17">
      <c r="A17" s="1" t="str">
        <f>IF(B17="","",CHOOSE(WEEKDAY(B17,2),"Monday","Tuesday","Wednesday","Thursday","Friday","Saturday","Sunday"))</f>
        <v>Friday</v>
      </c>
      <c r="B17" s="2">
        <f>IF(ROW()-10&lt;=DAY(EOMONTH($G$6,0)),DATE(YEAR($G$6),MONTH($G$6),ROW()-10),"")</f>
        <v>46241</v>
      </c>
      <c r="C17" t="str">
        <v>WORK</v>
      </c>
    </row>
    <row r="18">
      <c r="A18" s="1" t="str">
        <f>IF(B18="","",CHOOSE(WEEKDAY(B18,2),"Monday","Tuesday","Wednesday","Thursday","Friday","Saturday","Sunday"))</f>
        <v>Saturday</v>
      </c>
      <c r="B18" s="2">
        <f>IF(ROW()-10&lt;=DAY(EOMONTH($G$6,0)),DATE(YEAR($G$6),MONTH($G$6),ROW()-10),"")</f>
        <v>46242</v>
      </c>
      <c r="C18" t="str">
        <v>WORK</v>
      </c>
    </row>
    <row r="19">
      <c r="A19" s="1" t="str">
        <f>IF(B19="","",CHOOSE(WEEKDAY(B19,2),"Monday","Tuesday","Wednesday","Thursday","Friday","Saturday","Sunday"))</f>
        <v>Sunday</v>
      </c>
      <c r="B19" s="2">
        <f>IF(ROW()-10&lt;=DAY(EOMONTH($G$6,0)),DATE(YEAR($G$6),MONTH($G$6),ROW()-10),"")</f>
        <v>46243</v>
      </c>
      <c r="C19" t="str">
        <v>WORK</v>
      </c>
    </row>
    <row r="20">
      <c r="A20" s="1" t="str">
        <f>IF(B20="","",CHOOSE(WEEKDAY(B20,2),"Monday","Tuesday","Wednesday","Thursday","Friday","Saturday","Sunday"))</f>
        <v>Monday</v>
      </c>
      <c r="B20" s="2">
        <f>IF(ROW()-10&lt;=DAY(EOMONTH($G$6,0)),DATE(YEAR($G$6),MONTH($G$6),ROW()-10),"")</f>
        <v>46244</v>
      </c>
      <c r="C20" t="str">
        <v>WORK</v>
      </c>
    </row>
    <row r="21">
      <c r="A21" s="1" t="str">
        <f>IF(B21="","",CHOOSE(WEEKDAY(B21,2),"Monday","Tuesday","Wednesday","Thursday","Friday","Saturday","Sunday"))</f>
        <v>Tuesday</v>
      </c>
      <c r="B21" s="2">
        <f>IF(ROW()-10&lt;=DAY(EOMONTH($G$6,0)),DATE(YEAR($G$6),MONTH($G$6),ROW()-10),"")</f>
        <v>46245</v>
      </c>
      <c r="C21" t="str">
        <v>WORK</v>
      </c>
    </row>
    <row r="22">
      <c r="A22" s="1" t="str">
        <f>IF(B22="","",CHOOSE(WEEKDAY(B22,2),"Monday","Tuesday","Wednesday","Thursday","Friday","Saturday","Sunday"))</f>
        <v>Wednesday</v>
      </c>
      <c r="B22" s="2">
        <f>IF(ROW()-10&lt;=DAY(EOMONTH($G$6,0)),DATE(YEAR($G$6),MONTH($G$6),ROW()-10),"")</f>
        <v>46246</v>
      </c>
      <c r="C22" t="str">
        <v>WORK</v>
      </c>
    </row>
    <row r="23">
      <c r="A23" s="1" t="str">
        <f>IF(B23="","",CHOOSE(WEEKDAY(B23,2),"Monday","Tuesday","Wednesday","Thursday","Friday","Saturday","Sunday"))</f>
        <v>Thursday</v>
      </c>
      <c r="B23" s="2">
        <f>IF(ROW()-10&lt;=DAY(EOMONTH($G$6,0)),DATE(YEAR($G$6),MONTH($G$6),ROW()-10),"")</f>
        <v>46247</v>
      </c>
      <c r="C23" t="str">
        <v>WORK</v>
      </c>
    </row>
    <row r="24">
      <c r="A24" s="1" t="str">
        <f>IF(B24="","",CHOOSE(WEEKDAY(B24,2),"Monday","Tuesday","Wednesday","Thursday","Friday","Saturday","Sunday"))</f>
        <v>Friday</v>
      </c>
      <c r="B24" s="2">
        <f>IF(ROW()-10&lt;=DAY(EOMONTH($G$6,0)),DATE(YEAR($G$6),MONTH($G$6),ROW()-10),"")</f>
        <v>46248</v>
      </c>
      <c r="C24" t="str">
        <v>WORK</v>
      </c>
    </row>
    <row r="25">
      <c r="A25" s="1" t="str">
        <f>IF(B25="","",CHOOSE(WEEKDAY(B25,2),"Monday","Tuesday","Wednesday","Thursday","Friday","Saturday","Sunday"))</f>
        <v>Saturday</v>
      </c>
      <c r="B25" s="2">
        <f>IF(ROW()-10&lt;=DAY(EOMONTH($G$6,0)),DATE(YEAR($G$6),MONTH($G$6),ROW()-10),"")</f>
        <v>46249</v>
      </c>
      <c r="C25" t="str">
        <v>WORK</v>
      </c>
    </row>
    <row r="26">
      <c r="A26" s="1" t="str">
        <f>IF(B26="","",CHOOSE(WEEKDAY(B26,2),"Monday","Tuesday","Wednesday","Thursday","Friday","Saturday","Sunday"))</f>
        <v>Sunday</v>
      </c>
      <c r="B26" s="2">
        <f>IF(ROW()-10&lt;=DAY(EOMONTH($G$6,0)),DATE(YEAR($G$6),MONTH($G$6),ROW()-10),"")</f>
        <v>46250</v>
      </c>
      <c r="C26" t="str">
        <v>WORK</v>
      </c>
    </row>
    <row r="27">
      <c r="A27" s="1" t="str">
        <f>IF(B27="","",CHOOSE(WEEKDAY(B27,2),"Monday","Tuesday","Wednesday","Thursday","Friday","Saturday","Sunday"))</f>
        <v>Monday</v>
      </c>
      <c r="B27" s="2">
        <f>IF(ROW()-10&lt;=DAY(EOMONTH($G$6,0)),DATE(YEAR($G$6),MONTH($G$6),ROW()-10),"")</f>
        <v>46251</v>
      </c>
      <c r="C27" t="str">
        <v>WORK</v>
      </c>
    </row>
    <row r="28">
      <c r="A28" s="1" t="str">
        <f>IF(B28="","",CHOOSE(WEEKDAY(B28,2),"Monday","Tuesday","Wednesday","Thursday","Friday","Saturday","Sunday"))</f>
        <v>Tuesday</v>
      </c>
      <c r="B28" s="2">
        <f>IF(ROW()-10&lt;=DAY(EOMONTH($G$6,0)),DATE(YEAR($G$6),MONTH($G$6),ROW()-10),"")</f>
        <v>46252</v>
      </c>
      <c r="C28" t="str">
        <v>WORK</v>
      </c>
    </row>
    <row r="29">
      <c r="A29" s="1" t="str">
        <f>IF(B29="","",CHOOSE(WEEKDAY(B29,2),"Monday","Tuesday","Wednesday","Thursday","Friday","Saturday","Sunday"))</f>
        <v>Wednesday</v>
      </c>
      <c r="B29" s="2">
        <f>IF(ROW()-10&lt;=DAY(EOMONTH($G$6,0)),DATE(YEAR($G$6),MONTH($G$6),ROW()-10),"")</f>
        <v>46253</v>
      </c>
      <c r="C29" t="str">
        <v>WORK</v>
      </c>
    </row>
    <row r="30">
      <c r="A30" s="1" t="str">
        <f>IF(B30="","",CHOOSE(WEEKDAY(B30,2),"Monday","Tuesday","Wednesday","Thursday","Friday","Saturday","Sunday"))</f>
        <v>Thursday</v>
      </c>
      <c r="B30" s="2">
        <f>IF(ROW()-10&lt;=DAY(EOMONTH($G$6,0)),DATE(YEAR($G$6),MONTH($G$6),ROW()-10),"")</f>
        <v>46254</v>
      </c>
      <c r="C30" t="str">
        <v>WORK</v>
      </c>
    </row>
    <row r="31">
      <c r="A31" s="1" t="str">
        <f>IF(B31="","",CHOOSE(WEEKDAY(B31,2),"Monday","Tuesday","Wednesday","Thursday","Friday","Saturday","Sunday"))</f>
        <v>Friday</v>
      </c>
      <c r="B31" s="2">
        <f>IF(ROW()-10&lt;=DAY(EOMONTH($G$6,0)),DATE(YEAR($G$6),MONTH($G$6),ROW()-10),"")</f>
        <v>46255</v>
      </c>
      <c r="C31" t="str">
        <v>WORK</v>
      </c>
    </row>
    <row r="32">
      <c r="A32" s="1" t="str">
        <f>IF(B32="","",CHOOSE(WEEKDAY(B32,2),"Monday","Tuesday","Wednesday","Thursday","Friday","Saturday","Sunday"))</f>
        <v>Saturday</v>
      </c>
      <c r="B32" s="2">
        <f>IF(ROW()-10&lt;=DAY(EOMONTH($G$6,0)),DATE(YEAR($G$6),MONTH($G$6),ROW()-10),"")</f>
        <v>46256</v>
      </c>
      <c r="C32" t="str">
        <v>WORK</v>
      </c>
    </row>
    <row r="33">
      <c r="A33" s="1" t="str">
        <f>IF(B33="","",CHOOSE(WEEKDAY(B33,2),"Monday","Tuesday","Wednesday","Thursday","Friday","Saturday","Sunday"))</f>
        <v>Sunday</v>
      </c>
      <c r="B33" s="2">
        <f>IF(ROW()-10&lt;=DAY(EOMONTH($G$6,0)),DATE(YEAR($G$6),MONTH($G$6),ROW()-10),"")</f>
        <v>46257</v>
      </c>
      <c r="C33" t="str">
        <v>WORK</v>
      </c>
    </row>
    <row r="34">
      <c r="A34" s="1" t="str">
        <f>IF(B34="","",CHOOSE(WEEKDAY(B34,2),"Monday","Tuesday","Wednesday","Thursday","Friday","Saturday","Sunday"))</f>
        <v>Monday</v>
      </c>
      <c r="B34" s="2">
        <f>IF(ROW()-10&lt;=DAY(EOMONTH($G$6,0)),DATE(YEAR($G$6),MONTH($G$6),ROW()-10),"")</f>
        <v>46258</v>
      </c>
      <c r="C34" t="str">
        <v>WORK</v>
      </c>
    </row>
    <row r="35">
      <c r="A35" s="1" t="str">
        <f>IF(B35="","",CHOOSE(WEEKDAY(B35,2),"Monday","Tuesday","Wednesday","Thursday","Friday","Saturday","Sunday"))</f>
        <v>Tuesday</v>
      </c>
      <c r="B35" s="2">
        <f>IF(ROW()-10&lt;=DAY(EOMONTH($G$6,0)),DATE(YEAR($G$6),MONTH($G$6),ROW()-10),"")</f>
        <v>46259</v>
      </c>
      <c r="C35" t="str">
        <v>WORK</v>
      </c>
    </row>
    <row r="36">
      <c r="A36" s="1" t="str">
        <f>IF(B36="","",CHOOSE(WEEKDAY(B36,2),"Monday","Tuesday","Wednesday","Thursday","Friday","Saturday","Sunday"))</f>
        <v>Wednesday</v>
      </c>
      <c r="B36" s="2">
        <f>IF(ROW()-10&lt;=DAY(EOMONTH($G$6,0)),DATE(YEAR($G$6),MONTH($G$6),ROW()-10),"")</f>
        <v>46260</v>
      </c>
      <c r="C36" t="str">
        <v>WORK</v>
      </c>
    </row>
    <row r="37">
      <c r="A37" s="1" t="str">
        <f>IF(B37="","",CHOOSE(WEEKDAY(B37,2),"Monday","Tuesday","Wednesday","Thursday","Friday","Saturday","Sunday"))</f>
        <v>Thursday</v>
      </c>
      <c r="B37" s="2">
        <f>IF(ROW()-10&lt;=DAY(EOMONTH($G$6,0)),DATE(YEAR($G$6),MONTH($G$6),ROW()-10),"")</f>
        <v>46261</v>
      </c>
      <c r="C37" t="str">
        <v>WORK</v>
      </c>
    </row>
    <row r="38">
      <c r="A38" s="1" t="str">
        <f>IF(B38="","",CHOOSE(WEEKDAY(B38,2),"Monday","Tuesday","Wednesday","Thursday","Friday","Saturday","Sunday"))</f>
        <v>Friday</v>
      </c>
      <c r="B38" s="2">
        <f>IF(ROW()-10&lt;=DAY(EOMONTH($G$6,0)),DATE(YEAR($G$6),MONTH($G$6),ROW()-10),"")</f>
        <v>46262</v>
      </c>
      <c r="C38" t="str">
        <v>WORK</v>
      </c>
    </row>
    <row r="39">
      <c r="A39" s="1" t="str">
        <f>IF(B39="","",CHOOSE(WEEKDAY(B39,2),"Monday","Tuesday","Wednesday","Thursday","Friday","Saturday","Sunday"))</f>
        <v>Saturday</v>
      </c>
      <c r="B39" s="2">
        <f>IF(ROW()-10&lt;=DAY(EOMONTH($G$6,0)),DATE(YEAR($G$6),MONTH($G$6),ROW()-10),"")</f>
        <v>46263</v>
      </c>
      <c r="C39" t="str">
        <v>WORK</v>
      </c>
    </row>
    <row r="40">
      <c r="A40" s="1" t="str">
        <f>IF(B40="","",CHOOSE(WEEKDAY(B40,2),"Monday","Tuesday","Wednesday","Thursday","Friday","Saturday","Sunday"))</f>
        <v>Sunday</v>
      </c>
      <c r="B40" s="2">
        <f>IF(ROW()-10&lt;=DAY(EOMONTH($G$6,0)),DATE(YEAR($G$6),MONTH($G$6),ROW()-10),"")</f>
        <v>46264</v>
      </c>
      <c r="C40" t="str">
        <v>WORK</v>
      </c>
    </row>
    <row r="41">
      <c r="A41" s="1" t="str">
        <f>IF(B41="","",CHOOSE(WEEKDAY(B41,2),"Monday","Tuesday","Wednesday","Thursday","Friday","Saturday","Sunday"))</f>
        <v>Monday</v>
      </c>
      <c r="B41" s="2">
        <f>IF(ROW()-10&lt;=DAY(EOMONTH($G$6,0)),DATE(YEAR($G$6),MONTH($G$6),ROW()-10),"")</f>
        <v>46265</v>
      </c>
      <c r="C41" t="str">
        <v>WORK</v>
      </c>
    </row>
    <row r="42" ht="19.5" customHeight="1">
      <c r="A42" t="str">
        <v>TOTAL HOURS</v>
      </c>
      <c r="D42" s="3">
        <f>SUM(D11:D41)</f>
        <v>0</v>
      </c>
      <c r="E42" s="3">
        <f>SUM(E11:E41)</f>
        <v>0</v>
      </c>
      <c r="F42" s="3">
        <f>SUM(F11:F41)</f>
        <v>0</v>
      </c>
    </row>
    <row r="43" ht="30" customHeight="1">
      <c r="A43" t="str">
        <v>DAY TYPE codes: WORK = normal working day  |  ROTATION = rest/rotation day (no hours)  |  SICK = sick leave  |  HOLIDAY = holiday / annual leave  |  TRAVEL = travel day (e.g. return from rotation)  |  WEEKLY OFF = weekly rest day (no hours, not billable)</v>
      </c>
    </row>
    <row r="44" ht="19.5" customHeight="1">
      <c r="A44" t="str">
        <v>SUMMARY</v>
      </c>
    </row>
    <row r="45" ht="18" customHeight="1">
      <c r="A45" t="str">
        <v>TOTAL WORK HOURS</v>
      </c>
      <c r="F45" s="3">
        <f>D42+E42</f>
        <v>0</v>
      </c>
    </row>
    <row r="46" ht="18" customHeight="1">
      <c r="A46" t="str">
        <v>TOTAL TRAVEL HOURS</v>
      </c>
      <c r="F46" s="3">
        <f>F42</f>
        <v>0</v>
      </c>
    </row>
    <row r="47" ht="18" customHeight="1">
      <c r="A47" t="str">
        <v>ROTATION DAYS</v>
      </c>
      <c r="F47" s="4">
        <f>COUNTIFS(C11:C41,"ROTATION",B11:B41,"&lt;&gt;")</f>
        <v>0</v>
      </c>
    </row>
    <row r="48" ht="18" customHeight="1">
      <c r="A48" t="str">
        <v>SICK DAYS</v>
      </c>
      <c r="F48" s="4">
        <f>COUNTIFS(C11:C41,"SICK",B11:B41,"&lt;&gt;")</f>
        <v>0</v>
      </c>
    </row>
    <row r="49" ht="18" customHeight="1">
      <c r="A49" t="str">
        <v>HOLIDAY DAYS</v>
      </c>
      <c r="F49" s="4">
        <f>COUNTIFS(C11:C41,"HOLIDAY",B11:B41,"&lt;&gt;")</f>
        <v>0</v>
      </c>
    </row>
    <row r="50" ht="18" customHeight="1">
      <c r="A50" t="str">
        <v>TRAVEL DAYS</v>
      </c>
      <c r="F50" s="4">
        <f>COUNTIFS(C11:C41,"TRAVEL",B11:B41,"&lt;&gt;")</f>
        <v>0</v>
      </c>
    </row>
    <row r="51" ht="18" customHeight="1">
      <c r="A51" t="str">
        <v>WEEKLY OFF DAYS</v>
      </c>
      <c r="F51" s="4">
        <f>COUNTIFS(C11:C41,"WEEKLY OFF",B11:B41,"&lt;&gt;")</f>
        <v>0</v>
      </c>
    </row>
    <row r="52">
      <c r="A52" t="str">
        <v>WORK DAYS</v>
      </c>
      <c r="F52" s="4">
        <f>COUNTIFS(C11:C41,"WORK",B11:B41,"&lt;&gt;")</f>
        <v>31</v>
      </c>
    </row>
    <row r="53">
      <c r="A53" t="str">
        <v>AVERAGE HOURS PER WORK DAY</v>
      </c>
      <c r="F53" s="3">
        <f>IF(F52=0,0,F45/F52)</f>
        <v>0</v>
      </c>
    </row>
    <row r="54">
      <c r="A54" t="str">
        <v>TOTAL HOURS INCLUDING TRAVEL</v>
      </c>
      <c r="F54" s="3">
        <f>F45+F46</f>
        <v>0</v>
      </c>
    </row>
    <row r="55"/>
    <row r="56">
      <c r="A56" t="str">
        <v>EMPLOYEE:</v>
      </c>
      <c r="B56" t="str">
        <v>SIGNATURE</v>
      </c>
      <c r="F56" t="str">
        <v>APPROVED BY:</v>
      </c>
      <c r="G56" t="str">
        <v>SIGNATURE</v>
      </c>
    </row>
    <row r="57">
      <c r="A57" t="str">
        <v>NAME:</v>
      </c>
      <c r="B57" t="str">
        <v>John Doe</v>
      </c>
      <c r="G57" t="str">
        <v>NAME</v>
      </c>
    </row>
    <row r="58">
      <c r="A58" t="str">
        <v>DESIGNATION:</v>
      </c>
      <c r="B58" t="str">
        <v>Commissioning Lead Engineer</v>
      </c>
      <c r="G58" t="str">
        <v>SITE MANAGER / CUSTOMER REP</v>
      </c>
    </row>
  </sheetData>
  <mergeCells count="71">
    <mergeCell ref="B58:D58"/>
    <mergeCell ref="G58:H58"/>
    <mergeCell ref="A52:E52"/>
    <mergeCell ref="F52:H52"/>
    <mergeCell ref="A53:E53"/>
    <mergeCell ref="F53:H53"/>
    <mergeCell ref="A54:E54"/>
    <mergeCell ref="F54:H54"/>
    <mergeCell ref="A51:E51"/>
    <mergeCell ref="F51:H51"/>
    <mergeCell ref="B56:D56"/>
    <mergeCell ref="G56:H56"/>
    <mergeCell ref="B57:D57"/>
    <mergeCell ref="G57:H57"/>
    <mergeCell ref="A48:E48"/>
    <mergeCell ref="F48:H48"/>
    <mergeCell ref="A49:E49"/>
    <mergeCell ref="F49:H49"/>
    <mergeCell ref="A50:E50"/>
    <mergeCell ref="F50:H50"/>
    <mergeCell ref="A45:E45"/>
    <mergeCell ref="F45:H45"/>
    <mergeCell ref="A46:E46"/>
    <mergeCell ref="F46:H46"/>
    <mergeCell ref="A47:E47"/>
    <mergeCell ref="F47:H47"/>
    <mergeCell ref="G41:H41"/>
    <mergeCell ref="A42:C42"/>
    <mergeCell ref="G42:H42"/>
    <mergeCell ref="A43:H43"/>
    <mergeCell ref="A44:H44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A9:A10"/>
    <mergeCell ref="B9:B10"/>
    <mergeCell ref="C9:C10"/>
    <mergeCell ref="F9:F10"/>
    <mergeCell ref="G9:H10"/>
    <mergeCell ref="A1:H5"/>
    <mergeCell ref="A6:E8"/>
    <mergeCell ref="G6:H6"/>
    <mergeCell ref="G7:H7"/>
    <mergeCell ref="G8:H8"/>
  </mergeCells>
  <pageMargins left="0.2" right="0.2" top="0.25" bottom="0.25" header="0.125" footer="0.125"/>
  <ignoredErrors>
    <ignoredError numberStoredAsText="1" sqref="A1:H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G16"/>
  <sheetViews>
    <sheetView workbookViewId="0" rightToLeft="0"/>
  </sheetViews>
  <cols>
    <col min="2" max="2" customWidth="1" width="2.5703125"/>
    <col min="3" max="3" customWidth="1" width="14.85546875"/>
    <col min="4" max="4" customWidth="1" width="14.85546875"/>
    <col min="5" max="5" customWidth="1" width="14.85546875"/>
    <col min="6" max="6" customWidth="1" width="14.85546875"/>
    <col min="7" max="7" customWidth="1" width="14.85546875"/>
  </cols>
  <sheetData>
    <row r="1" ht="27.75" customHeight="1">
      <c r="B1" t="str">
        <v>TIMESHEET – BASIC USER GUIDE</v>
      </c>
    </row>
    <row r="2" ht="27.75" customHeight="1">
      <c r="B2" t="str">
        <v>Follow these steps to complete and submit your monthly timesheet.</v>
      </c>
    </row>
    <row r="3" ht="27.75" customHeight="1">
      <c r="B3" t="str">
        <v>HOW TO COMPLETE THE TIMESHEET</v>
      </c>
    </row>
    <row r="4" ht="27.75" customHeight="1">
      <c r="B4">
        <v>1</v>
      </c>
      <c r="C4" t="str">
        <v>Select the month — In the MONTH field, enter the month and year (for example, Aug-2026). Dates and weekdays update automatically.</v>
      </c>
    </row>
    <row r="5" ht="27.75" customHeight="1">
      <c r="B5">
        <v>2</v>
      </c>
      <c r="C5" t="str">
        <v>Enter employee details — Complete the NAME, EMPLOYEE ID and DESIGNATION fields.</v>
      </c>
    </row>
    <row r="6" ht="27.75" customHeight="1">
      <c r="B6">
        <v>3</v>
      </c>
      <c r="C6" t="str">
        <v>Select the day type — In DAY TYPE, choose WORK, ROTATION, SICK, HOLIDAY, TRAVEL or WEEKLY OFF.</v>
      </c>
    </row>
    <row r="7" ht="27.75" customHeight="1">
      <c r="B7">
        <v>4</v>
      </c>
      <c r="C7" t="str">
        <v>Enter hours — Complete REGULAR, OVERTIME and TRAVEL HOURS using values from 0 to 24 in 0.5-hour increments (for example, 7.0, 7.5 or 8.0).</v>
      </c>
    </row>
    <row r="8" ht="27.75" customHeight="1">
      <c r="B8">
        <v>5</v>
      </c>
      <c r="C8" t="str">
        <v>Describe the work — Add a brief description of the activities performed under WORK DESCRIPTION.</v>
      </c>
    </row>
    <row r="9" ht="27.75" customHeight="1">
      <c r="B9">
        <v>6</v>
      </c>
      <c r="C9" t="str">
        <v>Review the summary — Check the automatically calculated totals and day counts in the SUMMARY section.</v>
      </c>
    </row>
    <row r="10" ht="27.75" customHeight="1">
      <c r="B10">
        <v>7</v>
      </c>
      <c r="C10" t="str">
        <v>Sign and submit — Complete the EMPLOYEE and APPROVED BY sections, review the entries, save and submit the file.</v>
      </c>
    </row>
    <row r="11" ht="27.75" customHeight="1"/>
    <row r="12" ht="27.75" customHeight="1">
      <c r="B12" t="str">
        <v>IMPORTANT</v>
      </c>
    </row>
    <row r="13" ht="27.75" customHeight="1">
      <c r="B13" t="str">
        <v>• Edit only the highlighted input fields.</v>
      </c>
    </row>
    <row r="14" ht="27.75" customHeight="1">
      <c r="B14" t="str">
        <v>• Do not overwrite formulas or calculated totals.</v>
      </c>
    </row>
    <row r="15" ht="27.75" customHeight="1">
      <c r="B15" t="str">
        <v>• Review all entries before submission.</v>
      </c>
    </row>
    <row r="16" ht="27.75" customHeight="1">
      <c r="B16" t="str">
        <v>• The Timesheet is configured to print on one A4 landscape page.</v>
      </c>
    </row>
  </sheetData>
  <mergeCells count="15">
    <mergeCell ref="B14:G14"/>
    <mergeCell ref="B15:G15"/>
    <mergeCell ref="B16:G16"/>
    <mergeCell ref="C7:G7"/>
    <mergeCell ref="C8:G8"/>
    <mergeCell ref="C9:G9"/>
    <mergeCell ref="C10:G10"/>
    <mergeCell ref="B12:G12"/>
    <mergeCell ref="B13:G13"/>
    <mergeCell ref="B1:G1"/>
    <mergeCell ref="B2:G2"/>
    <mergeCell ref="B3:G3"/>
    <mergeCell ref="C4:G4"/>
    <mergeCell ref="C5:G5"/>
    <mergeCell ref="C6:G6"/>
  </mergeCells>
  <pageMargins left="0.3333333333333333" right="0.3333333333333333" top="0.3333333333333333" bottom="0.3333333333333333" header="0.3" footer="0.3"/>
  <ignoredErrors>
    <ignoredError numberStoredAsText="1" sqref="B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2026-08-20T06:26:01Z</dcterms:created>
  <dcterms:modified xsi:type="dcterms:W3CDTF">2026-08-20T08:50:48Z</dcterms:modified>
  <cp:lastModifiedBy>Nayara Nunes</cp:lastModifiedBy>
  <cp:lastPrinted>2026-08-20T08:36:25Z</cp:lastPrinted>
  <cp:revision>0</cp:revision>
  <dc:creator>openpyxl</dc:creator>
  <dc:language>en-US</dc:language>
</cp:coreProperties>
</file>